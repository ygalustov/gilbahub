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ebbles range" sheetId="2" state="visible" r:id="rId4"/>
    <sheet name="Release technology" sheetId="3" state="visible" r:id="rId5"/>
    <sheet name="ICL full range" sheetId="4" state="visible" r:id="rId6"/>
    <sheet name="Lebanon full range" sheetId="5" state="visible" r:id="rId7"/>
    <sheet name="Growth Products range" sheetId="6" state="visible" r:id="rId8"/>
    <sheet name="Gaps &amp; flags" sheetId="7" state="visible" r:id="rId9"/>
  </sheets>
  <definedNames>
    <definedName function="false" hidden="true" localSheetId="6" name="_xlnm._FilterDatabase" vbProcedure="false">'Gaps &amp; flags'!$A$2:$C$17</definedName>
    <definedName function="false" hidden="true" localSheetId="5" name="_xlnm._FilterDatabase" vbProcedure="false">'Growth Products range'!$A$2:$H$17</definedName>
    <definedName function="false" hidden="true" localSheetId="3" name="_xlnm._FilterDatabase" vbProcedure="false">'ICL full range'!$A$2:$H$48</definedName>
    <definedName function="false" hidden="true" localSheetId="4" name="_xlnm._FilterDatabase" vbProcedure="false">'Lebanon full range'!$A$2:$G$40</definedName>
    <definedName function="false" hidden="true" localSheetId="1" name="_xlnm._FilterDatabase" vbProcedure="false">'Prebbles range'!$A$1:$U$45</definedName>
    <definedName function="false" hidden="true" localSheetId="2" name="_xlnm._FilterDatabase" vbProcedure="false">'Release technology'!$A$2:$I$12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<sst xmlns="http://schemas.openxmlformats.org/spreadsheetml/2006/main" count="1666" uniqueCount="1182">
  <si>
    <t xml:space="preserve">Prebbles Turf World — fertiliser range, analysis and slow-release technology</t>
  </si>
  <si>
    <t xml:space="preserve">Compiled 25 August 2026 · Prebbles Turf World, Christchurch NZ · prebbleturf.co.nz / turfworld.co.nz · 0800 28 00 28</t>
  </si>
  <si>
    <t xml:space="preserve">What this is</t>
  </si>
  <si>
    <t xml:space="preserve">Scope</t>
  </si>
  <si>
    <t xml:space="preserve">Every fertiliser, biostimulant and soil amendment that could be confirmed as currently listed by Prebbles Turf World, matched to the manufacturer's own published analysis, slow-release chemistry and stated longevity.</t>
  </si>
  <si>
    <t xml:space="preserve">Sheets</t>
  </si>
  <si>
    <t xml:space="preserve">'Prebbles range' is the catalogue itself. 'Release technology' explains each slow-release mechanism. 'ICL full range', 'Lebanon full range' and 'Growth Products range' are the wider supplier catalogues — grades Prebbles can bring in but that are not currently on their site. 'Gaps &amp; flags' lists everything that needs confirming before you quote it.</t>
  </si>
  <si>
    <t xml:space="preserve">How it was built, and where it is soft</t>
  </si>
  <si>
    <t xml:space="preserve">Method</t>
  </si>
  <si>
    <t xml:space="preserve">Prebbles publish no analyses, run no shopping cart and their site returns HTTP 403 to automated retrieval. The catalogue below was reconstructed from their search-indexed product URLs — the slugs carry product name, NPK and pack size — then matched against manufacturer labels and technical pages.</t>
  </si>
  <si>
    <t xml:space="preserve">This is a strong sample, not a guarantee</t>
  </si>
  <si>
    <t xml:space="preserve">Treat it as a very good working list. Only Prebbles' own current price schedule is authoritative. Ring 0800 28 00 28 and ask for it, then reconcile against this.</t>
  </si>
  <si>
    <t xml:space="preserve">Two site catalogues exist</t>
  </si>
  <si>
    <t xml:space="preserve">An older /product/&lt;id&gt;-&lt;slug&gt; scheme and a newer /products/fertiliser/&lt;category&gt;/&lt;slug&gt; scheme. Only three new-scheme URLs surfaced in search, so the newer catalogue is probably larger than what is captured here.</t>
  </si>
  <si>
    <t xml:space="preserve">Elemental vs oxide — read this</t>
  </si>
  <si>
    <t xml:space="preserve">Prebbles list P and K ELEMENTALLY (the NZ/AU convention). US and UK labels use OXIDE (P2O5, K2O). Every product match in this workbook was verified by converting between the two, and that conversion is what confirms most of the identifications. Columns I and J of the 'Prebbles range' sheet compute the oxide equivalent live: P2O5 = P ÷ 0.4364, K2O = K ÷ 0.8301.</t>
  </si>
  <si>
    <t xml:space="preserve">Reading the confidence column</t>
  </si>
  <si>
    <t xml:space="preserve">Confirmed</t>
  </si>
  <si>
    <t xml:space="preserve">The Prebbles analysis converts exactly to a published manufacturer grade. The technical data in that row is the manufacturer's own.</t>
  </si>
  <si>
    <t xml:space="preserve">Probable</t>
  </si>
  <si>
    <t xml:space="preserve">The conversion points clearly at one grade but something else does not quite line up. Verify before quoting.</t>
  </si>
  <si>
    <t xml:space="preserve">Unconfirmed / Flagged</t>
  </si>
  <si>
    <t xml:space="preserve">Prebbles list it, but no matching manufacturer grade was found, or the published data conflicts with itself. Do not quote the analysis without the NZ label.</t>
  </si>
  <si>
    <t xml:space="preserve">Listed, no data</t>
  </si>
  <si>
    <t xml:space="preserve">Mostly Prebbles' own house brands — EzySpread, EzyReno, EzyFoliar, Reno Boost, Sports Fert NO3, Ammos. They publish nothing beyond the NPK in the product name. Roughly a third of the range sits here.</t>
  </si>
  <si>
    <t xml:space="preserve">Two things that will bite you</t>
  </si>
  <si>
    <t xml:space="preserve">'% MESA' is not '% slow release N'</t>
  </si>
  <si>
    <t xml:space="preserve">A grade named '51% MESA' means 51% of its NITROGEN comes from MESA particles. The SRN figure — slowly-available N over total N — is always lower. ProScape 25-0-5 is '51% MESA' but its registered label puts SRN at 24.8%.</t>
  </si>
  <si>
    <t xml:space="preserve">Longevity is mostly not published</t>
  </si>
  <si>
    <t xml:space="preserve">The only durations either major supplier publishes are MESA's 'up to 12 weeks' and ICL's per-grade figures. Meth-Ex, U-Form, EXPO and MESA-XP have no published duration at all, and ICL qualifies every figure with '*depending on environmental factors' with no reference temperature. Where a cell says 'not published', that is the manufacturer's position — not a hole in the research.</t>
  </si>
  <si>
    <t xml:space="preserve">Products on the 'Prebbles range' sheet</t>
  </si>
  <si>
    <t xml:space="preserve">Of those, matched to a manufacturer label</t>
  </si>
  <si>
    <t xml:space="preserve">Ref</t>
  </si>
  <si>
    <t xml:space="preserve">Category</t>
  </si>
  <si>
    <t xml:space="preserve">Product (as listed by Prebbles)</t>
  </si>
  <si>
    <t xml:space="preserve">Brand</t>
  </si>
  <si>
    <t xml:space="preserve">Manufacturer</t>
  </si>
  <si>
    <t xml:space="preserve">N %</t>
  </si>
  <si>
    <t xml:space="preserve">P % (elem)</t>
  </si>
  <si>
    <t xml:space="preserve">K % (elem)</t>
  </si>
  <si>
    <t xml:space="preserve">P₂O₅ % (calc)</t>
  </si>
  <si>
    <t xml:space="preserve">K₂O % (calc)</t>
  </si>
  <si>
    <t xml:space="preserve">Other nutrients / label detail</t>
  </si>
  <si>
    <t xml:space="preserve">Pack size</t>
  </si>
  <si>
    <t xml:space="preserve">N sources &amp; % slow release</t>
  </si>
  <si>
    <t xml:space="preserve">Slow-release technology</t>
  </si>
  <si>
    <t xml:space="preserve">Release mechanism &amp; what triggers it</t>
  </si>
  <si>
    <t xml:space="preserve">Longevity (published)</t>
  </si>
  <si>
    <t xml:space="preserve">Application rate</t>
  </si>
  <si>
    <t xml:space="preserve">Typical use</t>
  </si>
  <si>
    <t xml:space="preserve">Confidence / match note</t>
  </si>
  <si>
    <t xml:space="preserve">Prebbles listing</t>
  </si>
  <si>
    <t xml:space="preserve">Manufacturer source</t>
  </si>
  <si>
    <t xml:space="preserve">ICL-01</t>
  </si>
  <si>
    <t xml:space="preserve">Granular – controlled release</t>
  </si>
  <si>
    <t xml:space="preserve">SIERRABLEN SPORTSTURF +2% Fe 24-2.2-8.3</t>
  </si>
  <si>
    <t xml:space="preserve">Sierrablen</t>
  </si>
  <si>
    <t xml:space="preserve">ICL</t>
  </si>
  <si>
    <t xml:space="preserve">Fe 2.0% water-soluble. N split: nitrate 1.3%, ammoniacal 2.6%, urea 20.1%</t>
  </si>
  <si>
    <t xml:space="preserve">25 kg</t>
  </si>
  <si>
    <t xml:space="preserve">Coated + uncoated urea. % SRN not published by ICL.</t>
  </si>
  <si>
    <t xml:space="preserve">Poly-S (PCSCU – polymer-coated sulphur-coated urea)</t>
  </si>
  <si>
    <t xml:space="preserve">Moisture penetrates the outer polymer membrane, dissolves the sulphur layer beneath and opens pores through which N diffuses out. Rate tracks soil moisture and temperature. Poly-S release is coating-thickness dependent, so the pattern holds across varying conditions.</t>
  </si>
  <si>
    <t xml:space="preserve">4–5 months controlled NPK release (ICL: '*depending on environmental factors'; no reference temperature published)</t>
  </si>
  <si>
    <t xml:space="preserve">30–45 g/m² (avg 37.5 g/m²)</t>
  </si>
  <si>
    <t xml:space="preserve">Sports fields, tees, fairways</t>
  </si>
  <si>
    <t xml:space="preserve">Confirmed – elemental analysis matches ICL AU page exactly (oxide 24-5-10)</t>
  </si>
  <si>
    <t xml:space="preserve">https://www.turfworld.co.nz/product/30-sierrablen-sportsturf-2-fe-24-2-2-8-3-25kg</t>
  </si>
  <si>
    <t xml:space="preserve">https://icl-growingsolutions.com/en-au/turf-landscape/products/sierrablen-24-5-102fe/</t>
  </si>
  <si>
    <t xml:space="preserve">ICL-02</t>
  </si>
  <si>
    <t xml:space="preserve">SIERRABLEN SPORTSTURF +Fe 25-1-8, 96% SRN, PCSCU</t>
  </si>
  <si>
    <t xml:space="preserve">Fe declared in product name. Full trace package not published</t>
  </si>
  <si>
    <t xml:space="preserve">not published</t>
  </si>
  <si>
    <t xml:space="preserve">96% slow-release N (per the product slug on Prebbles' newer site)</t>
  </si>
  <si>
    <t xml:space="preserve">PCSCU – polymer-coated sulphur-coated urea (Poly-S family)</t>
  </si>
  <si>
    <t xml:space="preserve">As Poly-S above: moisture-triggered diffusion through a polymer membrane over a sulphur shell. A 96% SRN loading means almost no immediate-release fraction, so expect a slow initial response and a long, flat feed curve.</t>
  </si>
  <si>
    <t xml:space="preserve">not published on the Prebbles listing; Sierrablen brand claim is 'up to nine months' precision nutrition' for the coated range</t>
  </si>
  <si>
    <t xml:space="preserve">Sports turf</t>
  </si>
  <si>
    <t xml:space="preserve">Listed by Prebbles (newer URL scheme). No matching grade on ICL's AU catalogue — likely an NZ-specific blend. Confirm analysis with Prebbles.</t>
  </si>
  <si>
    <t xml:space="preserve">https://turfworld.co.nz/products/fertiliser/fertiliser-granule/sierrablen-sportsturf-25-1-8-fe-96-srn-pcscu</t>
  </si>
  <si>
    <t xml:space="preserve">https://icl-growingsolutions.com/en-au/turf-landscape/brands/sierrablen/</t>
  </si>
  <si>
    <t xml:space="preserve">ICL-03</t>
  </si>
  <si>
    <t xml:space="preserve">SIERRABLEN TURF STARTER 16-11-10</t>
  </si>
  <si>
    <t xml:space="preserve">Water-soluble P 8.2%. N split: ammoniacal 6%, urea 10%</t>
  </si>
  <si>
    <t xml:space="preserve">25 kg (Prebbles); ICL pack not published</t>
  </si>
  <si>
    <t xml:space="preserve">Poly-S coated N + uncoated fraction. % SRN not published</t>
  </si>
  <si>
    <t xml:space="preserve">Poly-S (PCSCU)</t>
  </si>
  <si>
    <t xml:space="preserve">Moisture-triggered diffusion through polymer over sulphur. High P grade – the phosphate is conventional, only the N is coated.</t>
  </si>
  <si>
    <t xml:space="preserve">2–3 months</t>
  </si>
  <si>
    <t xml:space="preserve">25–40 g/m²</t>
  </si>
  <si>
    <t xml:space="preserve">Re-laying turf, over-seeding, establishment</t>
  </si>
  <si>
    <t xml:space="preserve">Confirmed – elemental 16-10.9-10 = oxide 16-25-12 on ICL AU page</t>
  </si>
  <si>
    <t xml:space="preserve">https://www.turfworld.co.nz/product/39-sierrablen-turf-starter-16-11-10-25kg</t>
  </si>
  <si>
    <t xml:space="preserve">https://icl-growingsolutions.com/en-au/turf-landscape/products/sierrablen-16-25-12/</t>
  </si>
  <si>
    <t xml:space="preserve">ICL-04</t>
  </si>
  <si>
    <t xml:space="preserve">Granular – slow release (micro-granular)</t>
  </si>
  <si>
    <t xml:space="preserve">SIERRAFORM GT MOMENTUM 22-2.2-9.1</t>
  </si>
  <si>
    <t xml:space="preserve">Sierraform GT</t>
  </si>
  <si>
    <t xml:space="preserve">Mg 1.2, S 5.1, Fe 0.5, Mn 0.10, Cu 0.02, Zn 0.02, Mo 0.001. N split: ammoniacal 2.9%, urea 7.6%, ureaformaldehyde (MU) 11.5%</t>
  </si>
  <si>
    <t xml:space="preserve">20 kg</t>
  </si>
  <si>
    <t xml:space="preserve">52% of total N as ureaformaldehyde (11.5 of 22)</t>
  </si>
  <si>
    <t xml:space="preserve">MU2 + SilK coating</t>
  </si>
  <si>
    <t xml:space="preserve">MU2 is ICL's microfine methylene-urea technology: methylene urea chains inside the granule are broken down by SOIL MICROBES, so release accelerates with soil temperature and microbial activity rather than with moisture alone. Every micro-granule carries both conventional and slow-release N, so the feed starts immediately and tails off over the window.</t>
  </si>
  <si>
    <t xml:space="preserve">6–8 weeks (MU2 brand claim: 'increased longevity of up to 8 weeks, dependent on environmental conditions')</t>
  </si>
  <si>
    <t xml:space="preserve">15–35 g/m² (20 kg bag covers 571–1,333 m²); granule dispersal 2–3 days, turf response 7 days</t>
  </si>
  <si>
    <t xml:space="preserve">All fine turf; especially spring and summer</t>
  </si>
  <si>
    <t xml:space="preserve">Confirmed – matches ICL AU page exactly (oxide 22-5-11+2MgO)</t>
  </si>
  <si>
    <t xml:space="preserve">https://www.turfworld.co.nz/product/99-sierraform-gt-momentum-22-2-2-9-1-20kg</t>
  </si>
  <si>
    <t xml:space="preserve">https://icl-growingsolutions.com/en-au/turf-landscape/products/sierraform-gt-momentum/</t>
  </si>
  <si>
    <t xml:space="preserve">ICL-05</t>
  </si>
  <si>
    <t xml:space="preserve">SIERRAFORM GT ANTI-STRESS 15-0-21.6</t>
  </si>
  <si>
    <t xml:space="preserve">Fe 1.0, S 8.6, Si 4.0. N split: urea 7.2%, ureaformaldehyde (MU) 7.8%</t>
  </si>
  <si>
    <t xml:space="preserve">52% of total N as ureaformaldehyde (7.8 of 15)</t>
  </si>
  <si>
    <t xml:space="preserve">MU2 (methylene urea)</t>
  </si>
  <si>
    <t xml:space="preserve">Microbial breakdown of methylene-urea chains; release follows soil temperature. Zero-P, very high K with silicon — built for abiotic stress and late-season hardening rather than growth.</t>
  </si>
  <si>
    <t xml:space="preserve">6–8 weeks</t>
  </si>
  <si>
    <t xml:space="preserve">15–35 g/m²</t>
  </si>
  <si>
    <t xml:space="preserve">Fine turf under abiotic stress; late-season / pre-winter hardening</t>
  </si>
  <si>
    <t xml:space="preserve">Confirmed – matches ICL AU page (oxide 15-0-26 + Fe 1)</t>
  </si>
  <si>
    <t xml:space="preserve">https://www.turfworld.co.nz/product/36-sierraform-gt-anti-stress-15-0-21-6-20kg</t>
  </si>
  <si>
    <t xml:space="preserve">https://icl-growingsolutions.com/en-au/turf-landscape/products/sierraform-gt-anti-stress/</t>
  </si>
  <si>
    <t xml:space="preserve">LEB-01</t>
  </si>
  <si>
    <t xml:space="preserve">Granular – slow release</t>
  </si>
  <si>
    <t xml:space="preserve">MESA PROSCAPE 51% 25-0-4.2</t>
  </si>
  <si>
    <t xml:space="preserve">ProScape</t>
  </si>
  <si>
    <t xml:space="preserve">Lebanon Seaboard (LebanonTurf)</t>
  </si>
  <si>
    <t xml:space="preserve">S 5.0% (combined), Fe 1.0%. Label N split: ammoniacal 4.5%, water-insoluble 2.6%, urea 13.3%, other water-soluble 4.6%. K from MURIATE OF POTASH (chloride ≤2%)</t>
  </si>
  <si>
    <t xml:space="preserve">22.68 kg (50 lb)</t>
  </si>
  <si>
    <t xml:space="preserve">51% of N from MESA particles. Label SRN = 6.2% slowly available of 25% total = 24.8% SRN (LebanonTurf's own page says 29% — use the label figure)</t>
  </si>
  <si>
    <t xml:space="preserve">MESA (MEthylene urea + ammonium SulphAte, homogeneous particle) + straight urea</t>
  </si>
  <si>
    <t xml:space="preserve">MESA is one fused particle, not a coated or blended granule. Ammonium sulphate on the outer edges gives immediate green-up; methylene-urea chains through the particle are broken down by SOIL MICROBES for the slow phase; and ammonium sulphate trapped inside is only liberated as that methylene urea degrades, giving a controlled back end. Because it is homogeneous, a granule crushed by a mower or spreader still releases normally — unlike a coated product, where a fractured shell dumps its whole payload.</t>
  </si>
  <si>
    <t xml:space="preserve">Up to 12 weeks (MESA technology claim). Grade-specific figure not published</t>
  </si>
  <si>
    <t xml:space="preserve">Label: 3.6 lb/1,000 ft² (159 lb/ac ≈ 178 kg/ha) = 0.9 lb N; or 2.0 lb/1,000 ft² (87 lb/ac ≈ 98 kg/ha) = 0.5 lb N</t>
  </si>
  <si>
    <t xml:space="preserve">Landscape and commercial turf</t>
  </si>
  <si>
    <t xml:space="preserve">Confirmed – 25-0-4.2 elemental = 25-0-5 oxide, matches ProScape 25-0-5 51% MESA 1% Fe</t>
  </si>
  <si>
    <t xml:space="preserve">https://www.turfworld.co.nz/product/17-mesa-proscape-51-25-0-4-2-22-68kg</t>
  </si>
  <si>
    <t xml:space="preserve">https://www.lebanonturf.com/labels/2254318.pdf</t>
  </si>
  <si>
    <t xml:space="preserve">LEB-02</t>
  </si>
  <si>
    <t xml:space="preserve">MESA COUNTRY CLUB 100% 19-0-16</t>
  </si>
  <si>
    <t xml:space="preserve">Country Club</t>
  </si>
  <si>
    <t xml:space="preserve">Fe 3.0% — the highest Fe loading in the Country Club range. K from SOP (chloride-free). S not published</t>
  </si>
  <si>
    <t xml:space="preserve">100% of N from MESA; published SRN 70%</t>
  </si>
  <si>
    <t xml:space="preserve">MESA (homogeneous methylene urea + ammonium sulphate)</t>
  </si>
  <si>
    <t xml:space="preserve">Three simultaneous release paths from one particle — surface ammonium sulphate (immediate), microbially-degraded methylene urea (slow), interior ammonium sulphate freed as the MU breaks down (controlled). Microbially driven, so release tracks soil temperature and moisture, i.e. it feeds when the turf is growing.</t>
  </si>
  <si>
    <t xml:space="preserve">Up to 12 weeks (MESA claim)</t>
  </si>
  <si>
    <t xml:space="preserve">not published for this grade; SGN 150 midsize particle</t>
  </si>
  <si>
    <t xml:space="preserve">Golf tees, fairways, sportsturf</t>
  </si>
  <si>
    <t xml:space="preserve">Confirmed – 19-0-16 elemental = 19-0-19 oxide, matches Country Club 19-0-19 100% MESA 3% Fe</t>
  </si>
  <si>
    <t xml:space="preserve">https://www.turfworld.co.nz/product/155-mesa-country-club-100-19-0-16-22-68kg</t>
  </si>
  <si>
    <t xml:space="preserve">https://www.lebanonturf.com/products/2235750</t>
  </si>
  <si>
    <t xml:space="preserve">LEB-03</t>
  </si>
  <si>
    <t xml:space="preserve">COUNTRY CLUB 24-0-10</t>
  </si>
  <si>
    <t xml:space="preserve">Matches Country Club 24-0-12 (oxide) 60% MESA / 100% EXPO SGN 150 if the identification is right. Full guaranteed analysis not published</t>
  </si>
  <si>
    <t xml:space="preserve">If CC 24-0-12: 60% of N from MESA, K 100% EXPO extended-release SOP</t>
  </si>
  <si>
    <t xml:space="preserve">MESA + EXPO extended-release potassium sulphate</t>
  </si>
  <si>
    <t xml:space="preserve">MESA supplies the three-phase N release. EXPO is a patented single-particle extended-release potassium sulphate that releases K well beyond straight SOP, so the K feed is stretched to match the N rather than flushing out in the first irrigation.</t>
  </si>
  <si>
    <t xml:space="preserve">Up to 12 weeks for the MESA N. EXPO K duration not published</t>
  </si>
  <si>
    <t xml:space="preserve">PROBABLE – 24-0-10 elemental = 24-0-12 oxide, which matches CC 24-0-12 60% MESA 100% EXPO. Verify with Prebbles.</t>
  </si>
  <si>
    <t xml:space="preserve">https://www.turfworld.co.nz/product/123-country-club-24-0-10-22-68kg</t>
  </si>
  <si>
    <t xml:space="preserve">https://www.lebanonturf.com/products/2237088</t>
  </si>
  <si>
    <t xml:space="preserve">LEB-04</t>
  </si>
  <si>
    <t xml:space="preserve">Granular – standard release</t>
  </si>
  <si>
    <t xml:space="preserve">CC LEBANON STD 16-1.7-6.7</t>
  </si>
  <si>
    <t xml:space="preserve">Oxide equivalent 16-4-8. Specific grade not identified in LebanonTurf's published catalogue</t>
  </si>
  <si>
    <t xml:space="preserve">not published – listed by Prebbles under standard release, so assume a low or nil SRN fraction</t>
  </si>
  <si>
    <t xml:space="preserve">Standard (conventional) release</t>
  </si>
  <si>
    <t xml:space="preserve">Conventional soluble sources — nitrogen available on dissolution, no coating and no methylene urea fraction to meter it out. Fast response, short residual, higher burn and leaching risk at rate.</t>
  </si>
  <si>
    <t xml:space="preserve">Short residual; no published duration</t>
  </si>
  <si>
    <t xml:space="preserve">General turf</t>
  </si>
  <si>
    <t xml:space="preserve">UNCONFIRMED – Prebbles listing only; no matching LebanonTurf grade found. Request the NZ label.</t>
  </si>
  <si>
    <t xml:space="preserve">https://www.turfworld.co.nz/product/111-cc-lebanon-std-16-1-7-6-7-22-68kg</t>
  </si>
  <si>
    <t xml:space="preserve">LEB-05</t>
  </si>
  <si>
    <t xml:space="preserve">LEBPRO 40 PCU 24-0-4</t>
  </si>
  <si>
    <t xml:space="preserve">LebPro</t>
  </si>
  <si>
    <t xml:space="preserve">Oxide equivalent 24-0-5. Full guaranteed analysis not published</t>
  </si>
  <si>
    <t xml:space="preserve">22.7 kg</t>
  </si>
  <si>
    <t xml:space="preserve">40% of N as polymer-coated urea (per the product name)</t>
  </si>
  <si>
    <t xml:space="preserve">PCU – polymer-coated urea</t>
  </si>
  <si>
    <t xml:space="preserve">Urea sealed inside a polymer membrane. Water vapour crosses the membrane, dissolves the urea core, and the resulting solution diffuses back out. Release rate is governed principally by SOIL TEMPERATURE (and coating thickness), not by microbial activity — the opposite driver to MESA/Meth-Ex. A cracked or crushed prill releases its whole payload at once.</t>
  </si>
  <si>
    <t xml:space="preserve">not published for this grade; PCU coatings are typically specified 40–120 days by coating weight</t>
  </si>
  <si>
    <t xml:space="preserve">General / commercial turf</t>
  </si>
  <si>
    <t xml:space="preserve">Listed by Prebbles. Note this is the one coated-technology product in their Lebanon range — LebanonTurf's mainstream chemistry is coating-free.</t>
  </si>
  <si>
    <t xml:space="preserve">https://www.turfworld.co.nz/product/133-lebpro-40-pcu-24-0-4-22-7kg</t>
  </si>
  <si>
    <t xml:space="preserve">LEB-06</t>
  </si>
  <si>
    <t xml:space="preserve">Granular – establishment</t>
  </si>
  <si>
    <t xml:space="preserve">PROSCAPE STARTER 16-11-10</t>
  </si>
  <si>
    <t xml:space="preserve">Oxide equivalent 16-25-12. High-P starter</t>
  </si>
  <si>
    <t xml:space="preserve">not published – ProScape starters are typically part-MESA</t>
  </si>
  <si>
    <t xml:space="preserve">Establishment grade: the value is the high water-soluble phosphate for root initiation, not the release curve.</t>
  </si>
  <si>
    <t xml:space="preserve">Seeding, over-seeding, new turf</t>
  </si>
  <si>
    <t xml:space="preserve">UNCONFIRMED – identical elemental analysis to ICL's Sierrablen Turf Starter, so double-check which product Prebbles actually ships under this name.</t>
  </si>
  <si>
    <t xml:space="preserve">https://www.turfworld.co.nz/product/104-proscape-starter-16-11-10-22-68kg</t>
  </si>
  <si>
    <t xml:space="preserve">LEB-07</t>
  </si>
  <si>
    <t xml:space="preserve">Granular – iron / colour</t>
  </si>
  <si>
    <t xml:space="preserve">PROSCAPE Hi IRON 6-0.4-9 (7% Fe)</t>
  </si>
  <si>
    <t xml:space="preserve">Fe 7.0%. Oxide equivalent 6-1-11</t>
  </si>
  <si>
    <t xml:space="preserve">Low-N, high-Fe colour grade — driven by the iron, not by a release technology.</t>
  </si>
  <si>
    <t xml:space="preserve">Colour without growth flush</t>
  </si>
  <si>
    <t xml:space="preserve">UNCONFIRMED – not found in LebanonTurf's published catalogue. Request the label.</t>
  </si>
  <si>
    <t xml:space="preserve">https://www.turfworld.co.nz/product/105-proscape-hi-iron-6-0-4-9-7-fe-22-7kg</t>
  </si>
  <si>
    <t xml:space="preserve">GRN-01</t>
  </si>
  <si>
    <t xml:space="preserve">Greens grade (SGN 80)</t>
  </si>
  <si>
    <t xml:space="preserve">CC MD GREENS sgn80 12-0-20</t>
  </si>
  <si>
    <t xml:space="preserve">Country Club MD</t>
  </si>
  <si>
    <t xml:space="preserve">Fe 1.6%, Mg 0.5%, Mn 0.5%. K from SOP (chloride-free). Contains potassium humate and kelp meal inside the particle</t>
  </si>
  <si>
    <t xml:space="preserve">18.14 kg (40 lb); covers 19,048 ft² (≈1,770 m²) per bag</t>
  </si>
  <si>
    <t xml:space="preserve">65% of N from Meth-Ex methylene urea; published SRN 55%</t>
  </si>
  <si>
    <t xml:space="preserve">Meth-Ex (high-activity methylene urea), no coating, on Composite Technology</t>
  </si>
  <si>
    <t xml:space="preserve">Meth-Ex methylene-urea chains are hydrolysed by SOIL MICROBES — release rises and falls with soil temperature and moisture, not with irrigation events. Because MD granules are homogeneous composites, mower pickup or spreader crushing does not spike release. The humic acid and kelp are inside the same particle, so the biostimulant lands wherever the fertiliser lands.</t>
  </si>
  <si>
    <t xml:space="preserve">not published in weeks by LebanonTurf. The only interval published anywhere in the greens range is 'every 4 to 8 weeks' (Country Club IV Canadian label)</t>
  </si>
  <si>
    <t xml:space="preserve">not published for this grade</t>
  </si>
  <si>
    <t xml:space="preserve">Putting greens</t>
  </si>
  <si>
    <t xml:space="preserve">Confirmed – 12-0-20 elemental = 12-0-24 oxide, matches Country Club MD 12-0-24 65% Meth-Ex</t>
  </si>
  <si>
    <t xml:space="preserve">https://www.turfworld.co.nz/product/20-cc-md-greens-sgn80-12-0-20-18-14kg</t>
  </si>
  <si>
    <t xml:space="preserve">https://www.lebanonturf.com/products/2135736</t>
  </si>
  <si>
    <t xml:space="preserve">GRN-02</t>
  </si>
  <si>
    <t xml:space="preserve">CC MD GREENS sgn80 22-0-13</t>
  </si>
  <si>
    <t xml:space="preserve">Fe 1.6%, Mg 0.7%, Mn 0.8%. SOP-based. Humic + kelp in particle</t>
  </si>
  <si>
    <t xml:space="preserve">18.14 kg (40 lb); covers 17,391 ft² (≈1,616 m²) per bag</t>
  </si>
  <si>
    <t xml:space="preserve">64% of N from Meth-Ex; LebanonTurf publishes SRN 80% — internally inconsistent (SRN cannot exceed the Meth-Ex fraction on any other grade). FLAGGED.</t>
  </si>
  <si>
    <t xml:space="preserve">Meth-Ex methylene urea, uncoated</t>
  </si>
  <si>
    <t xml:space="preserve">Microbial hydrolysis of methylene-urea chains; release follows soil temperature. Highest-N greens grade in the MD range.</t>
  </si>
  <si>
    <t xml:space="preserve">Putting greens where a higher N rate is wanted</t>
  </si>
  <si>
    <t xml:space="preserve">Confirmed – 22-0-13 elemental = 22-0-16 oxide, matches CC MD 22-0-16 64% Meth-Ex</t>
  </si>
  <si>
    <t xml:space="preserve">https://turfworld.co.nz/product/22-cc-md-greens-sgn80-22-0-13-18-14kg</t>
  </si>
  <si>
    <t xml:space="preserve">https://www.lebanonturf.com/products/2135737</t>
  </si>
  <si>
    <t xml:space="preserve">GRN-03</t>
  </si>
  <si>
    <t xml:space="preserve">CC MD GREENS STD sgn80 16-0-6.7</t>
  </si>
  <si>
    <t xml:space="preserve">LABEL: ammoniacal N 14.6%, urea N 1.4%, K2O 8%, Mg 1.0%, S 20.0% (highest S in the range), Fe 1.0%, Mn 0.5%</t>
  </si>
  <si>
    <t xml:space="preserve">18.14 kg (40 lb); covers 12,903 ft² (≈1,199 m²) per bag</t>
  </si>
  <si>
    <t xml:space="preserve">0% SRN — no slowly-available N statement on the label. Described as '100% All Mineral'</t>
  </si>
  <si>
    <t xml:space="preserve">NONE – quick release, ammonium-sulphate driven</t>
  </si>
  <si>
    <t xml:space="preserve">Straight soluble N. Ammonium sulphate at 20% S is deliberately acidifying — used to drive down rootzone pH and for fast, predictable response, not for longevity. This is the one greens grade in the range with no slow-release fraction at all.</t>
  </si>
  <si>
    <t xml:space="preserve">Days, not weeks. Reapply on a short cycle.</t>
  </si>
  <si>
    <t xml:space="preserve">Label: 4.3 lb/1,000 ft² (187 lb/ac ≈ 210 kg/ha) = 0.7 lb N; or 3.1 lb/1,000 ft² (135 lb/ac ≈ 151 kg/ha) = 0.5 lb N. Note the high rate caps at 0.7 lb N, not 0.9 — consistent with an all-soluble grade.</t>
  </si>
  <si>
    <t xml:space="preserve">Putting greens; pH management and fast response</t>
  </si>
  <si>
    <t xml:space="preserve">Confirmed – 16-0-6.7 elemental = 16-0-8 oxide, matches CC MD 16-0-8 Ammoniacal</t>
  </si>
  <si>
    <t xml:space="preserve">https://www.turfworld.co.nz/product/23-cc-md-greens-std-sgn80-16-0-6-7-18-14kg</t>
  </si>
  <si>
    <t xml:space="preserve">https://www.lebanonturf.com/labels/2129101.pdf</t>
  </si>
  <si>
    <t xml:space="preserve">GRN-04</t>
  </si>
  <si>
    <t xml:space="preserve">CC MD IV GREENS sgn80 18-1.3-15 (Increased Visibility)</t>
  </si>
  <si>
    <t xml:space="preserve">Country Club IV</t>
  </si>
  <si>
    <t xml:space="preserve">Oxide 18-3-18. 'IV' = increased visibility: lighter-coloured granule so the operator can see the spread pattern on the green. No biostimulant package (that is the MD range)</t>
  </si>
  <si>
    <t xml:space="preserve">18.14 kg (40 lb)</t>
  </si>
  <si>
    <t xml:space="preserve">Country Club IV 18-3-18 is listed as 85% Meth-Ex. Label SRN not published</t>
  </si>
  <si>
    <t xml:space="preserve">Meth-Ex methylene urea, uncoated, SOP-based</t>
  </si>
  <si>
    <t xml:space="preserve">Microbial hydrolysis of methylene urea. Very high Meth-Ex fraction means a slow, even feed with little front-end flush.</t>
  </si>
  <si>
    <t xml:space="preserve">Putting greens where spread visibility matters</t>
  </si>
  <si>
    <t xml:space="preserve">Confirmed analysis; MD-vs-IV designation on the Prebbles listing is mixed — verify.</t>
  </si>
  <si>
    <t xml:space="preserve">https://www.turfworld.co.nz/product/143-cc-md-iv-greens-sgn80-18-1-3-15-18-14kg-increased-visibility-</t>
  </si>
  <si>
    <t xml:space="preserve">https://www.lebanonturf.com/country-club-iv</t>
  </si>
  <si>
    <t xml:space="preserve">GRN-05</t>
  </si>
  <si>
    <t xml:space="preserve">CC MD GREENS sgn80 18-1-15 / 18-1.5-15</t>
  </si>
  <si>
    <t xml:space="preserve">Two near-identical listings appear (18-1-15 and 18-1.5-15). Both convert to ≈18-3-18 oxide. Fe 1.5%, Mg 0.65%, Mn 0.5% if this is MD 18-3-18</t>
  </si>
  <si>
    <t xml:space="preserve">18.14 kg (40 lb); covers 14,286 ft² (≈1,327 m²) per bag</t>
  </si>
  <si>
    <t xml:space="preserve">78% of N from Meth-Ex; published SRN 68% — the highest SRN in the MD range</t>
  </si>
  <si>
    <t xml:space="preserve">Meth-Ex methylene urea, uncoated, SOP-based, humic + kelp in particle</t>
  </si>
  <si>
    <t xml:space="preserve">Microbial hydrolysis of methylene urea, tracking soil temperature. High SRN gives a long even feed; the SOP K and in-particle biostimulant suit a greens programme.</t>
  </si>
  <si>
    <t xml:space="preserve">Putting greens – workhorse balanced N/K grade</t>
  </si>
  <si>
    <t xml:space="preserve">PROBABLE – the two listings are most likely index variants of the same MD 18-3-18. Confirm with Prebbles which grade(s) they actually stock.</t>
  </si>
  <si>
    <t xml:space="preserve">https://www.turfworld.co.nz/product/21-cc-md-greens-sgn80-18-1-15-18-14kg</t>
  </si>
  <si>
    <t xml:space="preserve">https://www.lebanonturf.com/products/2129074</t>
  </si>
  <si>
    <t xml:space="preserve">GRN-06</t>
  </si>
  <si>
    <t xml:space="preserve">CC IV Spreadable POTASH 0-0-20</t>
  </si>
  <si>
    <t xml:space="preserve">Oxide 0-0-25. Mg 2.0%, Mn 2.0%. 100% SOP</t>
  </si>
  <si>
    <t xml:space="preserve">No nitrogen</t>
  </si>
  <si>
    <t xml:space="preserve">Straight sulphate of potash on an SGN 80 greens particle</t>
  </si>
  <si>
    <t xml:space="preserve">Conventional soluble SOP — immediately available, chloride-free. The technology here is the particle size (SGN 80 spreads evenly on a green at low rate), not a release mechanism.</t>
  </si>
  <si>
    <t xml:space="preserve">Immediate availability; no extended release</t>
  </si>
  <si>
    <t xml:space="preserve">Standalone K on greens; hardening and stress conditioning</t>
  </si>
  <si>
    <t xml:space="preserve">Confirmed – 0-0-20 elemental = 0-0-25 oxide, matches CC IV 0-0-25 SOP 2% Mg 2% Mn SGN 80</t>
  </si>
  <si>
    <t xml:space="preserve">https://www.turfworld.co.nz/product/85-cc-iv-spreadable-potash-0-0-20-18-14kg</t>
  </si>
  <si>
    <t xml:space="preserve">https://www.lebanonturf.com/products/2137228</t>
  </si>
  <si>
    <t xml:space="preserve">WDA-01</t>
  </si>
  <si>
    <t xml:space="preserve">Ornamental / tree &amp; shrub</t>
  </si>
  <si>
    <t xml:space="preserve">WOODACE LONGTERM (METHEX) 18-2.2-8.3</t>
  </si>
  <si>
    <t xml:space="preserve">Woodace</t>
  </si>
  <si>
    <t xml:space="preserve">LABEL: ammoniacal N 2.0%, WATER-INSOLUBLE N 9.6%, urea N 1.8%, other water-soluble N 4.6%; P2O5 5%, K2O 10%, Mg 0.5%, S 2.5%, Fe 1.6%, Mn 0.3%</t>
  </si>
  <si>
    <t xml:space="preserve">18.14 kg (40 lb) per LebanonTurf; Prebbles lists 22.68 kg — verify</t>
  </si>
  <si>
    <t xml:space="preserve">LABEL SRN = 14.2% slowly available of 18% total = 78.9% SRN. 33% of N from U-Form; K includes 15% EXPO</t>
  </si>
  <si>
    <t xml:space="preserve">U-Form (ureaform) + EXPO extended-release SOP</t>
  </si>
  <si>
    <t xml:space="preserve">U-Form is the longest-chain, least soluble methylene urea — the 9.6% water-insoluble N fraction is the tell. It needs sustained microbial activity to break down, which is why it feeds for a season rather than a month. EXPO stretches the potassium out alongside it.</t>
  </si>
  <si>
    <t xml:space="preserve">not published in weeks. The very high WIN fraction implies a season-long feed — this is the longest-residual product in the Prebbles range.</t>
  </si>
  <si>
    <t xml:space="preserve">Broadcast 1.1–3.3 lb/100 ft² (2–6 lb N/1,000 ft²). Per shrub within dripline: ¼ cup at 8–12" spread up to 1½ cups per foot of branch spread above 42"</t>
  </si>
  <si>
    <t xml:space="preserve">Trees, shrubs, ornamental beds — NOT a turf product</t>
  </si>
  <si>
    <t xml:space="preserve">Confirmed – 18-2.2-8.3 elemental = 18-5-10 oxide, matches Woodace 18-5-10 Longterm</t>
  </si>
  <si>
    <t xml:space="preserve">https://www.turfworld.co.nz/product/95-woodace-longterm-18-2-2-8-3-22-68kg</t>
  </si>
  <si>
    <t xml:space="preserve">https://www.lebanonturf.com/labels/2253999.pdf</t>
  </si>
  <si>
    <t xml:space="preserve">WDA-02</t>
  </si>
  <si>
    <t xml:space="preserve">WOODACE A.C.R.E 12-1.3-5</t>
  </si>
  <si>
    <t xml:space="preserve">Oxide 12-3-6. S 4.5% (to lower soil pH), Fe 0.5%, Mn 0.5%. P from DAP, K 100% SOP. Contains EcoPerk natural carbon source</t>
  </si>
  <si>
    <t xml:space="preserve">21% of N from MESA; published SRN 56%</t>
  </si>
  <si>
    <t xml:space="preserve">MESA + EcoPerk</t>
  </si>
  <si>
    <t xml:space="preserve">MESA's three-phase homogeneous release (see LEB-01), plus elemental sulphur to acidify. Built for acid-loving ornamentals — azaleas, rhododendrons, camellias.</t>
  </si>
  <si>
    <t xml:space="preserve">Acid-loving trees and shrubs — NOT a turf product</t>
  </si>
  <si>
    <t xml:space="preserve">Confirmed – 12-1.3-5 elemental = 12-3-6 oxide, matches Woodace 12-3-6 A.C.R.E.</t>
  </si>
  <si>
    <t xml:space="preserve">https://www.turfworld.co.nz/product/100-woodace-a-c-r-e-12-1-3-5-22-68kg</t>
  </si>
  <si>
    <t xml:space="preserve">https://www.lebanonturf.com/products/2254066</t>
  </si>
  <si>
    <t xml:space="preserve">WDA-03</t>
  </si>
  <si>
    <t xml:space="preserve">WOODACE BALANCED 14-6-11.6</t>
  </si>
  <si>
    <t xml:space="preserve">Oxide equivalent ≈14-14-14. Full analysis not published</t>
  </si>
  <si>
    <t xml:space="preserve">Woodace range uses U-Form and/or MESA — grade-specific split not published</t>
  </si>
  <si>
    <t xml:space="preserve">See U-Form / MESA notes. Balanced NPK maintenance grade for beds and shrubs.</t>
  </si>
  <si>
    <t xml:space="preserve">General ornamental — NOT a turf product</t>
  </si>
  <si>
    <t xml:space="preserve">PROBABLE – oxide equivalent points to a 14-14-14 Woodace grade. Request the label.</t>
  </si>
  <si>
    <t xml:space="preserve">https://www.turfworld.co.nz/product/24-woodace-balanced-14-6-11-6-18-14kg</t>
  </si>
  <si>
    <t xml:space="preserve">NZB-01</t>
  </si>
  <si>
    <t xml:space="preserve">Granular – renovation (NZ brand)</t>
  </si>
  <si>
    <t xml:space="preserve">EZYRENO 6-2.5-3.7</t>
  </si>
  <si>
    <t xml:space="preserve">EzySpread / EzyReno (Prebbles house brand)</t>
  </si>
  <si>
    <t xml:space="preserve">Prebbles Turf World (NZ)</t>
  </si>
  <si>
    <t xml:space="preserve">not published — no published guaranteed analysis beyond the NPK in the product name</t>
  </si>
  <si>
    <t xml:space="preserve">Low-analysis renovation grade. No release technology is claimed in any published material.</t>
  </si>
  <si>
    <t xml:space="preserve">Renovation / establishment</t>
  </si>
  <si>
    <t xml:space="preserve">Listed by Prebbles; no technical data published. Request the NZ label.</t>
  </si>
  <si>
    <t xml:space="preserve">https://www.turfworld.co.nz/product/28-ezyreno-6-2-5-3-7-25kg</t>
  </si>
  <si>
    <t xml:space="preserve">NZB-02</t>
  </si>
  <si>
    <t xml:space="preserve">RENO BOOST</t>
  </si>
  <si>
    <t xml:space="preserve">Prebbles house brand</t>
  </si>
  <si>
    <t xml:space="preserve">No analysis published in the product name or listing</t>
  </si>
  <si>
    <t xml:space="preserve">Renovation</t>
  </si>
  <si>
    <t xml:space="preserve">https://www.turfworld.co.nz/product/75-reno-boost-22-7kg</t>
  </si>
  <si>
    <t xml:space="preserve">NZB-03</t>
  </si>
  <si>
    <t xml:space="preserve">SPORTS FERT NO3 14-3-7 +TE</t>
  </si>
  <si>
    <t xml:space="preserve">'+TE' = trace elements; individual elements not published. 'NO3' indicates a nitrate-bearing N source</t>
  </si>
  <si>
    <t xml:space="preserve">Nitrate-based; SRN fraction not published</t>
  </si>
  <si>
    <t xml:space="preserve">Standard release</t>
  </si>
  <si>
    <t xml:space="preserve">Nitrate N is immediately plant-available and not held on the exchange complex — fast response, high leaching risk on sand, no residual. Listed under standard release.</t>
  </si>
  <si>
    <t xml:space="preserve">Short; no published duration</t>
  </si>
  <si>
    <t xml:space="preserve">Sports fields</t>
  </si>
  <si>
    <t xml:space="preserve">Listed by Prebbles; no technical data published.</t>
  </si>
  <si>
    <t xml:space="preserve">https://www.turfworld.co.nz/product/41-sports-fert-no3-14-3-7-te-20kg</t>
  </si>
  <si>
    <t xml:space="preserve">STR-01</t>
  </si>
  <si>
    <t xml:space="preserve">Straight / commodity</t>
  </si>
  <si>
    <t xml:space="preserve">D.A.P. 18-20-0</t>
  </si>
  <si>
    <t xml:space="preserve">Commodity</t>
  </si>
  <si>
    <t xml:space="preserve">Various</t>
  </si>
  <si>
    <t xml:space="preserve">Di-ammonium phosphate. Oxide 18-46-0</t>
  </si>
  <si>
    <t xml:space="preserve">100% ammoniacal N, immediately available</t>
  </si>
  <si>
    <t xml:space="preserve">None – straight fertiliser</t>
  </si>
  <si>
    <t xml:space="preserve">Fully soluble ammonium phosphate. Alkaline in the immediate granule zone on dissolution, then acidifying as the ammonium nitrifies. Used for phosphate at establishment.</t>
  </si>
  <si>
    <t xml:space="preserve">Immediate; no residual</t>
  </si>
  <si>
    <t xml:space="preserve">Establishment phosphate</t>
  </si>
  <si>
    <t xml:space="preserve">Confirmed – standard DAP analysis</t>
  </si>
  <si>
    <t xml:space="preserve">https://www.turfworld.co.nz/product/51-d-a-p-18-20-0-20kg</t>
  </si>
  <si>
    <t xml:space="preserve">LIQ-01</t>
  </si>
  <si>
    <t xml:space="preserve">Liquid – slow release N</t>
  </si>
  <si>
    <t xml:space="preserve">PRO BALANCE 15-0-12 (10L)</t>
  </si>
  <si>
    <t xml:space="preserve">Growth Products</t>
  </si>
  <si>
    <t xml:space="preserve">Growth Products Ltd / DPH Biologicals</t>
  </si>
  <si>
    <t xml:space="preserve">NZ analysis 15-0-12 does not exist in the US range, which is Pro-Balance 15-0-15 (oxide). 15-0-12 elemental = 15-0-14.5 oxide — close but NOT an exact match. US grade carries chelated Cu 0.05%, Fe 0.10%, Mn 0.05%, Zn 0.05%</t>
  </si>
  <si>
    <t xml:space="preserve">10 L</t>
  </si>
  <si>
    <t xml:space="preserve">US grade: 7.5% urea N + 7.5% slowly-available water-soluble N = 50% SRN</t>
  </si>
  <si>
    <t xml:space="preserve">Methylene urea in solution</t>
  </si>
  <si>
    <t xml:space="preserve">Methylene-urea polymer chains in a liquid carrier are broken down by microbial and hydrolytic action in the leaf and soil. Half the N is immediately available for response, half meters out — which is what lets a liquid be sprayed at a growth-regulating rate without a flush.</t>
  </si>
  <si>
    <t xml:space="preserve">Programme-based rather than a stated duration: label frames applications as 1/8–1/2 lb N per 1,000 ft² every 7–30 days</t>
  </si>
  <si>
    <t xml:space="preserve">US label: tees &amp; greens 7–10 oz/1,000 ft² (≈22–32 L/ha) every 7–14 days; fairways &amp; roughs ≈60–80 L/ha monthly; lawn care ≈121 L/ha every 6–8 weeks</t>
  </si>
  <si>
    <t xml:space="preserve">Warm, transitional and cool-season turf, spring to autumn</t>
  </si>
  <si>
    <t xml:space="preserve">FLAGGED – NZ analysis differs from the manufacturer's published grade. Do not quote the 15-0-15 figures as the NZ product. Request Prebbles' NZ label.</t>
  </si>
  <si>
    <t xml:space="preserve">https://www.turfworld.co.nz/product/48-pro-balance-15-0-12-10l</t>
  </si>
  <si>
    <t xml:space="preserve">https://www.douglasplanthealth.com/wp-content/uploads/2024/07/15-0-15_Pro_Balance_GP_Label-10.pdf</t>
  </si>
  <si>
    <t xml:space="preserve">LIQ-02</t>
  </si>
  <si>
    <t xml:space="preserve">Liquid – iron / colour</t>
  </si>
  <si>
    <t xml:space="preserve">XXTRA LIQUID IRON 6-0-0 (10L)</t>
  </si>
  <si>
    <t xml:space="preserve">S 4% (combined), Fe 6% water-soluble, CITRIC ACID chelated (not EDTA)</t>
  </si>
  <si>
    <t xml:space="preserve">0% SRN — all nitrogen is straight urea</t>
  </si>
  <si>
    <t xml:space="preserve">None (quick release)</t>
  </si>
  <si>
    <t xml:space="preserve">Straight urea plus citrate-chelated iron. Citric acid chelation is weaker than EDTA but more plant-compatible foliarly; the colour response is fast and the residual short.</t>
  </si>
  <si>
    <t xml:space="preserve">not published; reapply every 14–30 days</t>
  </si>
  <si>
    <t xml:space="preserve">Bentgrass tees &amp; greens 2 oz/1,000 ft² (≈6.4 L/ha); fairways 4 oz (≈12.7 L/ha); warm-season 3–6 oz (≈9.5–19.1 L/ha) by cutting height</t>
  </si>
  <si>
    <t xml:space="preserve">Iron chlorosis correction and colour</t>
  </si>
  <si>
    <t xml:space="preserve">Confirmed – manufacturer grade X-Xtra Iron 6-0-0</t>
  </si>
  <si>
    <t xml:space="preserve">https://www.turfworld.co.nz/product/59-xxtra-liquid-iron-6-0-0-10l</t>
  </si>
  <si>
    <t xml:space="preserve">https://www.douglasplanthealth.com/wp-content/uploads/2024/07/X-Xtra_Iron_6-0-0_GP_Label-6-nitrogen-6-iron-2.pdf</t>
  </si>
  <si>
    <t xml:space="preserve">LIQ-03</t>
  </si>
  <si>
    <t xml:space="preserve">Liquid – potassium</t>
  </si>
  <si>
    <t xml:space="preserve">LIQUID POTASSIUM 0-0-20 (10L)</t>
  </si>
  <si>
    <t xml:space="preserve">Oxide 0-0-25. Derived from POTASSIUM CARBONATE — non-chloride, 100% soluble</t>
  </si>
  <si>
    <t xml:space="preserve">None – fully soluble K</t>
  </si>
  <si>
    <t xml:space="preserve">Immediate availability, no release mechanism. Non-chloride source matters on greens and on salt-affected sites where MOP would add to the chloride load.</t>
  </si>
  <si>
    <t xml:space="preserve">Immediate; reapply every 7–21 days</t>
  </si>
  <si>
    <t xml:space="preserve">5–14 oz/1,000 ft² (≈4–12 L/ha) every 7–21 days</t>
  </si>
  <si>
    <t xml:space="preserve">Hardening, wear and stress tolerance, cool- and warm-season turf</t>
  </si>
  <si>
    <t xml:space="preserve">Confirmed – 0-0-20 elemental = 0-0-25 oxide, matches GP Liquid Potassium 0-0-25</t>
  </si>
  <si>
    <t xml:space="preserve">https://www.turfworld.co.nz/product/71-liquid-potassium-0-0-20-10l</t>
  </si>
  <si>
    <t xml:space="preserve">https://www.douglasplanthealth.com/wp-content/uploads/2023/03/0-0-25_Liquid_Potassium_GP_Label-13.pdf</t>
  </si>
  <si>
    <t xml:space="preserve">LIQ-04</t>
  </si>
  <si>
    <t xml:space="preserve">Liquid – micronutrient</t>
  </si>
  <si>
    <t xml:space="preserve">MICREL TOTAL 5-0-0 +TE (10L)</t>
  </si>
  <si>
    <t xml:space="preserve">Mg 0.5%, S 4%, B 0.02%, Cu 0.5%, Fe 6%, Mn 0.5%, Zn 0.5% — 100% chelated with CITRIC ACID</t>
  </si>
  <si>
    <t xml:space="preserve">0% SRN — nitrogen is urea</t>
  </si>
  <si>
    <t xml:space="preserve">Complete chelated micronutrient package for foliar or drench correction. No release technology; the chelation is what keeps the metals plant-available rather than precipitating in the tank or on the leaf.</t>
  </si>
  <si>
    <t xml:space="preserve">Tees, greens, warm and cool-season grasses 3–4 oz/1,000 ft² in 3–5 gal water (≈9–12 L/ha) every 14–21 days; fairways same rate every 30 days</t>
  </si>
  <si>
    <t xml:space="preserve">Micronutrient correction and maintenance</t>
  </si>
  <si>
    <t xml:space="preserve">Confirmed – manufacturer grade Micrel Total 5-0-0</t>
  </si>
  <si>
    <t xml:space="preserve">https://www.turfworld.co.nz/product/73-micrel-total-5-0-0-te-10l</t>
  </si>
  <si>
    <t xml:space="preserve">https://www.douglasplanthealth.com/wp-content/uploads/2024/07/Micrel_Total_5-0-0_GP_Label-4-1.pdf</t>
  </si>
  <si>
    <t xml:space="preserve">LIQ-05</t>
  </si>
  <si>
    <t xml:space="preserve">MANGANESE CHELATE 5% Mn (10L)</t>
  </si>
  <si>
    <t xml:space="preserve">Mn 5%. Chelate type not published on the NZ listing (GP's Manganese 5% is in their published label index)</t>
  </si>
  <si>
    <t xml:space="preserve">None</t>
  </si>
  <si>
    <t xml:space="preserve">Straight chelated manganese for correction of Mn deficiency — common on high-pH sand rootzones and implicated in take-all patch suppression.</t>
  </si>
  <si>
    <t xml:space="preserve">Manganese deficiency correction</t>
  </si>
  <si>
    <t xml:space="preserve">Listed by Prebbles; matches GP 'Manganese 5%'. Label not retrieved.</t>
  </si>
  <si>
    <t xml:space="preserve">https://www.turfworld.co.nz/product/72-manganese-chelate-5mn-10l</t>
  </si>
  <si>
    <t xml:space="preserve">https://www.douglasplanthealth.com/labels-sds-turf/</t>
  </si>
  <si>
    <t xml:space="preserve">LIQ-06</t>
  </si>
  <si>
    <t xml:space="preserve">Liquid – establishment</t>
  </si>
  <si>
    <t xml:space="preserve">STARTER PLUS BLOOMTASTIC 8-14-4 (10L)</t>
  </si>
  <si>
    <t xml:space="preserve">Oxide 8-32-5. High-phosphate establishment liquid</t>
  </si>
  <si>
    <t xml:space="preserve">High soluble phosphate for root initiation at seeding and transplant. Not a longevity product.</t>
  </si>
  <si>
    <t xml:space="preserve">Seeding, sprigging, transplanting</t>
  </si>
  <si>
    <t xml:space="preserve">Confirmed – 8-14-4 elemental = 8-32-5 oxide, matches GP Starter Plus Bloomtastic 8-32-5</t>
  </si>
  <si>
    <t xml:space="preserve">https://www.turfworld.co.nz/product/78-starter-plus-bloomtastic-8-14-4-10l</t>
  </si>
  <si>
    <t xml:space="preserve">LIQ-07</t>
  </si>
  <si>
    <t xml:space="preserve">Liquid – phosphite</t>
  </si>
  <si>
    <t xml:space="preserve">TKO PHOSPHITE 0-13-21 (10L)</t>
  </si>
  <si>
    <t xml:space="preserve">Oxide 0-29-26. Derived from mono- and di-potassium salts of PHOSPHOROUS acid (phosphite, not phosphate). Near-neutral pH, low salt index. Now marketed in the US as Companion Maxx Phosphite</t>
  </si>
  <si>
    <t xml:space="preserve">Not a release technology — phosphite chemistry</t>
  </si>
  <si>
    <t xml:space="preserve">Phosphite (PO3) is NOT a phosphorus fertiliser in the agronomic sense — the plant cannot use it as a P source until it oxidises to phosphate, which is slow. Its value is the systemic elicitation of plant defence responses. US label carries suppression claims for Rhizoctonia, Pythium and pink snow mould.</t>
  </si>
  <si>
    <t xml:space="preserve">2–4 fl oz/1,000 ft² (≈6.4–12.7 L/ha), foliar, soil or through irrigation</t>
  </si>
  <si>
    <t xml:space="preserve">Turf quality, rooting, and oomycete disease suppression</t>
  </si>
  <si>
    <t xml:space="preserve">Confirmed – 0-13-21 elemental = 0-29-26 oxide. NOTE: disease-suppression claims in NZ require ACVM registration — confirm status before relying on them.</t>
  </si>
  <si>
    <t xml:space="preserve">https://www.turfworld.co.nz/product/49-tko-phosphite-0-13-21-10l</t>
  </si>
  <si>
    <t xml:space="preserve">https://www.davey.com/media/jbfnewnt/tko-phosphite-0-29-26_sds.pdf</t>
  </si>
  <si>
    <t xml:space="preserve">LIQ-08</t>
  </si>
  <si>
    <t xml:space="preserve">Liquid – biostimulant</t>
  </si>
  <si>
    <t xml:space="preserve">ESSENTIAL PLUS (10L)</t>
  </si>
  <si>
    <t xml:space="preserve">International/metric label: humic acid 7% (Leonardite), total L-amino acid 4.45%, kelp extract 0.1% (Ascophyllum nodosum), Fe 0.29%. Current US label declares humic 7%, seaweed 0.05%, glucose 2%, dextrose 3%, yucca 0.002% and NO amino acid figure — the two labels differ materially</t>
  </si>
  <si>
    <t xml:space="preserve">10 L (11.9 kg); also 110 L, 200 L, 1000 L</t>
  </si>
  <si>
    <t xml:space="preserve">Organic N from fish protein hydrolysate. 0% slow-release N in the fertiliser sense — no methylene urea, triazone or polymer</t>
  </si>
  <si>
    <t xml:space="preserve">None – biostimulant, not a release technology</t>
  </si>
  <si>
    <t xml:space="preserve">Humic acid, amino acids and kelp cytokinins acting on root initiation and stress tolerance. Any 'longevity' here is biological persistence in the rootzone, not nutrient release.</t>
  </si>
  <si>
    <t xml:space="preserve">Metric label: greens &amp; tees 88 ml/100 m² (≈8.8 L/ha) every 14 days; fairways 118 ml/100 m² (≈11.8 L/ha) monthly; new seeding 88 ml/100 m² at seeding then every 14 days × 4</t>
  </si>
  <si>
    <t xml:space="preserve">Rooting, transplant shock, salt mitigation, soil CEC</t>
  </si>
  <si>
    <t xml:space="preserve">Confirmed product; FLAGGED — two label versions in circulation with different declarations. Ask Prebbles which they ship.</t>
  </si>
  <si>
    <t xml:space="preserve">https://www.turfworld.co.nz/product/66-essential-plus-10l</t>
  </si>
  <si>
    <t xml:space="preserve">https://turf-finder.sgp1.digitaloceanspaces.com/files/product_file/Essential-Plus-Label.pdf</t>
  </si>
  <si>
    <t xml:space="preserve">LIQ-09</t>
  </si>
  <si>
    <t xml:space="preserve">Liquid – biological</t>
  </si>
  <si>
    <t xml:space="preserve">COMPANION (10L)</t>
  </si>
  <si>
    <t xml:space="preserve">Active: Bacillus subtilis GB03 at 0.03%, not less than 5.5 × 10¹⁰ CFU/gal. US EPA Reg. No. 71065-3. Incidental analysis 2-3-2 (oxide)</t>
  </si>
  <si>
    <t xml:space="preserve">10 L (NZ); 1 / 2.5 / 5 gal (US)</t>
  </si>
  <si>
    <t xml:space="preserve">Not a nitrogen product</t>
  </si>
  <si>
    <t xml:space="preserve">None – live biological</t>
  </si>
  <si>
    <t xml:space="preserve">Bacillus subtilis colonises the rhizosphere and suppresses pathogens by competition and antibiosis. Nothing to do with nutrient release.</t>
  </si>
  <si>
    <t xml:space="preserve">not published; reapply every 14–28 days</t>
  </si>
  <si>
    <t xml:space="preserve">4–6 fl oz/1,000 ft² (≈12.7–19.1 L/ha). Root diseases: 2–4 gal water/1,000 ft². Foliar: 1–2 gal/1,000 ft²</t>
  </si>
  <si>
    <t xml:space="preserve">Registered in the US as a biological fungicide (anthracnose, brown patch, dollar spot, summer patch, fusarium, Pythium)</t>
  </si>
  <si>
    <t xml:space="preserve">FLAGGED – two unrelated products are sold as 'Companion' in NZ: this biofungicide, and an Agrion spray adjuvant. Confirm which Prebbles lists, and its NZ ACVM status.</t>
  </si>
  <si>
    <t xml:space="preserve">https://www.turfworld.co.nz/product/94-companion-10l</t>
  </si>
  <si>
    <t xml:space="preserve">https://www.evergreengrowers.com/pub/media/pdf/product_labels/Companion_Label.pdf</t>
  </si>
  <si>
    <t xml:space="preserve">LIQ-10</t>
  </si>
  <si>
    <t xml:space="preserve">Liquid – NZ brand</t>
  </si>
  <si>
    <t xml:space="preserve">AMMOS 22 NITRO 22-0-0 (10L)</t>
  </si>
  <si>
    <t xml:space="preserve">Ammos (NZ)</t>
  </si>
  <si>
    <t xml:space="preserve">High-N liquid; no release technology published.</t>
  </si>
  <si>
    <t xml:space="preserve">Liquid nitrogen feed</t>
  </si>
  <si>
    <t xml:space="preserve">https://turfworld.co.nz/product/40-ammos-22-nitro-22-22-0-0-10l</t>
  </si>
  <si>
    <t xml:space="preserve">LIQ-11</t>
  </si>
  <si>
    <t xml:space="preserve">EZYFOLIAR IRON MAXX 15-0-0 (10L)</t>
  </si>
  <si>
    <t xml:space="preserve">EzyFoliar (Prebbles house brand)</t>
  </si>
  <si>
    <t xml:space="preserve">Iron content not stated in the listing</t>
  </si>
  <si>
    <t xml:space="preserve">Foliar N + iron for colour. No release technology published.</t>
  </si>
  <si>
    <t xml:space="preserve">Foliar colour</t>
  </si>
  <si>
    <t xml:space="preserve">https://www.turfworld.co.nz/product/70-ezyfoliar-iron-maxx-15-0-0-10l</t>
  </si>
  <si>
    <t xml:space="preserve">LIQ-12</t>
  </si>
  <si>
    <t xml:space="preserve">EZYFOLIAR ENHANCE 7-0-3 (20L) and +10% Seaweed variant</t>
  </si>
  <si>
    <t xml:space="preserve">A '+10% Seaweed' variant is separately listed. NOTE: Growth Products' Cal-Mag Max is also 7-0-3 (nitrate N, glucoheptonate-complexed Ca 4% / Mg 2%) — these may be the same product relabelled, or unrelated</t>
  </si>
  <si>
    <t xml:space="preserve">20 L</t>
  </si>
  <si>
    <t xml:space="preserve">Foliar maintenance grade. If it is the Cal-Mag Max formulation, the N is 100% nitrate (immediately available, 0% SRN) and the Ca/Mg are glucoheptonate-complexed.</t>
  </si>
  <si>
    <t xml:space="preserve">Foliar feed</t>
  </si>
  <si>
    <t xml:space="preserve">FLAGGED – possible relabel of GP Cal-Mag Max 7-0-3. Verify before quoting any analysis.</t>
  </si>
  <si>
    <t xml:space="preserve">https://turfworld.co.nz/product/26-ezyfoliar-enhance-7-0-3-20l</t>
  </si>
  <si>
    <t xml:space="preserve">LIQ-13</t>
  </si>
  <si>
    <t xml:space="preserve">Liquid – seaweed</t>
  </si>
  <si>
    <t xml:space="preserve">BIOPOWER LIQUID SEAWEED (20L)</t>
  </si>
  <si>
    <t xml:space="preserve">BioPower</t>
  </si>
  <si>
    <t xml:space="preserve">No analysis published in the listing</t>
  </si>
  <si>
    <t xml:space="preserve">None – seaweed biostimulant</t>
  </si>
  <si>
    <t xml:space="preserve">Ascophyllum-type kelp extract: cytokinins, betaines and alginates acting on rooting and abiotic stress tolerance.</t>
  </si>
  <si>
    <t xml:space="preserve">Biostimulant</t>
  </si>
  <si>
    <t xml:space="preserve">https://www.turfworld.co.nz/product/45-biopower-liquid-seaweed-20l</t>
  </si>
  <si>
    <t xml:space="preserve">LIQ-14</t>
  </si>
  <si>
    <t xml:space="preserve">VITAL POLYKELP (20L)</t>
  </si>
  <si>
    <t xml:space="preserve">Vital</t>
  </si>
  <si>
    <t xml:space="preserve">Vital (NZ)</t>
  </si>
  <si>
    <t xml:space="preserve">None – kelp biostimulant</t>
  </si>
  <si>
    <t xml:space="preserve">Kelp extract biostimulant.</t>
  </si>
  <si>
    <t xml:space="preserve">https://www.prebbleturf.co.nz/product/26-vital-polykelp-20l</t>
  </si>
  <si>
    <t xml:space="preserve">ORG-01</t>
  </si>
  <si>
    <t xml:space="preserve">Organic / amendment</t>
  </si>
  <si>
    <t xml:space="preserve">BIOPOWER SEAWEED Flakes (1KG)</t>
  </si>
  <si>
    <t xml:space="preserve">Dried seaweed flake</t>
  </si>
  <si>
    <t xml:space="preserve">1 kg</t>
  </si>
  <si>
    <t xml:space="preserve">Dried kelp — slow biological breakdown releasing trace elements and alginates.</t>
  </si>
  <si>
    <t xml:space="preserve">Soil biostimulant / amendment</t>
  </si>
  <si>
    <t xml:space="preserve">https://www.prebbleturf.co.nz/product/18-biopower-seaweed-flakes-1kg</t>
  </si>
  <si>
    <t xml:space="preserve">AMD-01</t>
  </si>
  <si>
    <t xml:space="preserve">Soil amendment</t>
  </si>
  <si>
    <t xml:space="preserve">EZYSPREAD LIME (25KG)</t>
  </si>
  <si>
    <t xml:space="preserve">EzySpread (Prebbles house brand)</t>
  </si>
  <si>
    <t xml:space="preserve">Calcium carbonate. Neutralising value and particle size not published</t>
  </si>
  <si>
    <t xml:space="preserve">Raises soil pH by carbonate neutralisation of soil acidity. Reaction speed is governed by particle fineness, not by any release technology.</t>
  </si>
  <si>
    <t xml:space="preserve">Months to years depending on fineness and soil buffering</t>
  </si>
  <si>
    <t xml:space="preserve">pH correction</t>
  </si>
  <si>
    <t xml:space="preserve">https://www.turfworld.co.nz/product/56-ezyspread-lime-25kg</t>
  </si>
  <si>
    <t xml:space="preserve">AMD-02</t>
  </si>
  <si>
    <t xml:space="preserve">EZYSPREAD DOLOMITE (25KG)</t>
  </si>
  <si>
    <t xml:space="preserve">Calcium magnesium carbonate. Analysis not published</t>
  </si>
  <si>
    <t xml:space="preserve">Raises pH and supplies magnesium. Slower to react than straight lime because the magnesium carbonate fraction is less soluble.</t>
  </si>
  <si>
    <t xml:space="preserve">Months to years</t>
  </si>
  <si>
    <t xml:space="preserve">pH correction plus Mg</t>
  </si>
  <si>
    <t xml:space="preserve">https://turfworld.co.nz/product/120-ezyspread-dolomite-25kg</t>
  </si>
  <si>
    <t xml:space="preserve">AMD-03</t>
  </si>
  <si>
    <t xml:space="preserve">EZYSPREAD Fairway Grade GYPSUM (25KG)</t>
  </si>
  <si>
    <t xml:space="preserve">Calcium sulphate dihydrate. Analysis not published</t>
  </si>
  <si>
    <t xml:space="preserve">Supplies Ca and S without changing pH, and displaces sodium on the exchange complex — the reason it is used on sodic and effluent-irrigated sites.</t>
  </si>
  <si>
    <t xml:space="preserve">Weeks to months</t>
  </si>
  <si>
    <t xml:space="preserve">Ca/S supply, sodium displacement</t>
  </si>
  <si>
    <t xml:space="preserve">https://www.turfworld.co.nz/product/53-ezyspread-fairway-grade-gypsum-25kg</t>
  </si>
  <si>
    <t xml:space="preserve">AMD-04</t>
  </si>
  <si>
    <t xml:space="preserve">EZYSPREAD Greens Grade GYPSUM (20KG)</t>
  </si>
  <si>
    <t xml:space="preserve">Finer greens-grade particle for even low-rate spreading. Analysis not published</t>
  </si>
  <si>
    <t xml:space="preserve">As above; the finer grade dissolves faster and spreads evenly at greens rates.</t>
  </si>
  <si>
    <t xml:space="preserve">Weeks</t>
  </si>
  <si>
    <t xml:space="preserve">Greens Ca/S supply, sodium displacement</t>
  </si>
  <si>
    <t xml:space="preserve">https://www.turfworld.co.nz/product/131-ezyspread-greens-grade-gypsum-20kg</t>
  </si>
  <si>
    <t xml:space="preserve">How each slow-release system actually works — and what it means on the ground</t>
  </si>
  <si>
    <t xml:space="preserve">Technology</t>
  </si>
  <si>
    <t xml:space="preserve">Owner</t>
  </si>
  <si>
    <t xml:space="preserve">Chemistry family</t>
  </si>
  <si>
    <t xml:space="preserve">What it actually is</t>
  </si>
  <si>
    <t xml:space="preserve">What triggers release</t>
  </si>
  <si>
    <t xml:space="preserve">Release profile</t>
  </si>
  <si>
    <t xml:space="preserve">Published longevity</t>
  </si>
  <si>
    <t xml:space="preserve">The practical edge / catch</t>
  </si>
  <si>
    <t xml:space="preserve">Source</t>
  </si>
  <si>
    <t xml:space="preserve">MESA</t>
  </si>
  <si>
    <t xml:space="preserve">Homogeneous methylene urea + ammonium sulphate</t>
  </si>
  <si>
    <t xml:space="preserve">MEthylene urea fused with ammonium SulphAte into a single particle while the methylene urea is still wet. Not a coating and not a blend — the ammonium sulphate sits both on the outer edges and throughout the interior.</t>
  </si>
  <si>
    <t xml:space="preserve">Soil MICROBIAL activity (plus immediate dissolution of the surface ammonium sulphate). Tracks soil temperature and moisture.</t>
  </si>
  <si>
    <t xml:space="preserve">Three at once: (1) surface ammonium sulphate — immediate, often same-day green-up; (2) methylene urea — microbially degraded across the window; (3) interior ammonium sulphate — liberated only as the surrounding MU breaks down.</t>
  </si>
  <si>
    <t xml:space="preserve">Up to 12 weeks</t>
  </si>
  <si>
    <t xml:space="preserve">A crushed granule is still MESA — half a particle behaves like a whole one. Coated products fail catastrophically when the shell fractures under a mower or in a spreader.</t>
  </si>
  <si>
    <t xml:space="preserve">https://lebanonturf.com/blog/golf/technology-spotlight-mesa/</t>
  </si>
  <si>
    <t xml:space="preserve">MESA-XP</t>
  </si>
  <si>
    <t xml:space="preserve">Lebanon Seaboard</t>
  </si>
  <si>
    <t xml:space="preserve">Homogeneous MU + AS + potassium sulphate</t>
  </si>
  <si>
    <t xml:space="preserve">MESA with sulphate of potash built into the same particle.</t>
  </si>
  <si>
    <t xml:space="preserve">As MESA, microbial; the SOP fraction is metered by the same particle breakdown.</t>
  </si>
  <si>
    <t xml:space="preserve">Three-phase N as MESA, plus controlled-release K rather than a K flush.</t>
  </si>
  <si>
    <t xml:space="preserve">Homogeneous — every granule carries N and K in the same ratio, so segregation in the bag or spreader cannot skew the ratio applied.</t>
  </si>
  <si>
    <t xml:space="preserve">https://www.lebanonturf.com/our-technologies/mesa-xp</t>
  </si>
  <si>
    <t xml:space="preserve">Meth-Ex</t>
  </si>
  <si>
    <t xml:space="preserve">Methylene urea, uncoated</t>
  </si>
  <si>
    <t xml:space="preserve">High-activity methylene urea. This is the methylene-urea component inside MESA, and the sole slow-release source in the Country Club MD and IV greens ranges.</t>
  </si>
  <si>
    <t xml:space="preserve">Soil microbial hydrolysis of the methylene-urea chains.</t>
  </si>
  <si>
    <t xml:space="preserve">Continuous release as chains are shortened; shorter chains go first, longer chains persist.</t>
  </si>
  <si>
    <t xml:space="preserve">not published in weeks. Chain-length distribution is not disclosed.</t>
  </si>
  <si>
    <t xml:space="preserve">No coating to fracture. Suits greens where granules are picked up by the mower.</t>
  </si>
  <si>
    <t xml:space="preserve">https://www.lebanonturf.com/technologies/meth-ex</t>
  </si>
  <si>
    <t xml:space="preserve">U-Form (ureaform)</t>
  </si>
  <si>
    <t xml:space="preserve">Lebanon Seaboard (Woodace)</t>
  </si>
  <si>
    <t xml:space="preserve">Long-chain methylene urea</t>
  </si>
  <si>
    <t xml:space="preserve">The longest-chain, least soluble methylene urea. The tell on a label is a high WATER-INSOLUBLE NITROGEN figure — Woodace Longterm declares 9.6% WIN of 18% total N.</t>
  </si>
  <si>
    <t xml:space="preserve">Sustained soil microbial activity.</t>
  </si>
  <si>
    <t xml:space="preserve">Very slow, very flat. Little front-end response.</t>
  </si>
  <si>
    <t xml:space="preserve">not published in weeks; the WIN fraction implies season-long feeding.</t>
  </si>
  <si>
    <t xml:space="preserve">Longest residual of anything in the Prebbles range, but the slowest to show a response — wrong choice if you need colour this week.</t>
  </si>
  <si>
    <t xml:space="preserve">EXPO</t>
  </si>
  <si>
    <t xml:space="preserve">Extended-release potassium sulphate</t>
  </si>
  <si>
    <t xml:space="preserve">Patented single-particle extended-release SOP. Available at SGN 195 and SGN 145.</t>
  </si>
  <si>
    <t xml:space="preserve">not published (the release mechanism is not disclosed).</t>
  </si>
  <si>
    <t xml:space="preserve">Extends K availability 'well beyond that of standard potassium sulphate'.</t>
  </si>
  <si>
    <t xml:space="preserve">Addresses the mismatch where slow-release N is paired with a K source that leaches out in the first fortnight.</t>
  </si>
  <si>
    <t xml:space="preserve">https://www.lebanonturf.com/our-technologies/expo</t>
  </si>
  <si>
    <t xml:space="preserve">Poly-S</t>
  </si>
  <si>
    <t xml:space="preserve">PCSCU — polymer-coated sulphur-coated urea</t>
  </si>
  <si>
    <t xml:space="preserve">Dual layer: the urea prill is first coated with sulphur, then encapsulated in a polymer membrane.</t>
  </si>
  <si>
    <t xml:space="preserve">MOISTURE. Water penetrates the polymer, dissolves the sulphur, and creates pores through which nitrogen diffuses. Rate also responds to soil temperature.</t>
  </si>
  <si>
    <t xml:space="preserve">Diffusion-controlled and continuous; ICL states the release pattern 'remains stable even under varying environmental conditions'.</t>
  </si>
  <si>
    <t xml:space="preserve">Up to six months depending on coating thickness. In ANZ turf grades: 2–3 months (Sierrablen Turf Starter), 3+ months (Sierrablen Plus), 4–5 months (Sierrablen Sportsturf).</t>
  </si>
  <si>
    <t xml:space="preserve">Predictable and long. But a fractured coating dumps its payload — mind spreader damage and mower pickup.</t>
  </si>
  <si>
    <t xml:space="preserve">https://icl-growingsolutions.com/turf-landscape/categories/poly-s-technology/</t>
  </si>
  <si>
    <t xml:space="preserve">MU2</t>
  </si>
  <si>
    <t xml:space="preserve">Microfine methylene urea (with SilK coating)</t>
  </si>
  <si>
    <t xml:space="preserve">ICL's patented slow-release technology: microfine granules of methylene-urea chains, used across the Sierraform GT micro-granular range.</t>
  </si>
  <si>
    <t xml:space="preserve">Soil MICROBIAL breakdown of the methylene-urea chains. Appears on labels as 'ureaformaldehyde'.</t>
  </si>
  <si>
    <t xml:space="preserve">Each micro-granule carries both conventional and slow-release N, so response is immediate and then sustained.</t>
  </si>
  <si>
    <t xml:space="preserve">Up to 8 weeks (ICL: 6–8 weeks across the GT range, '6–8 weeks in cooler weather' for GT All Season)</t>
  </si>
  <si>
    <t xml:space="preserve">0.7–1.4 mm particle spreads evenly on a green at low rate. Shorter window than a coated CRF — this is a fine-turf programme product, not a set-and-forget.</t>
  </si>
  <si>
    <t xml:space="preserve">https://icl-growingsolutions.com/en-gb/turf-landscape/categories/mu2-technology/</t>
  </si>
  <si>
    <t xml:space="preserve">PCU (polymer-coated urea)</t>
  </si>
  <si>
    <t xml:space="preserve">Generic; in this range, LebPro 40 PCU</t>
  </si>
  <si>
    <t xml:space="preserve">Coated urea</t>
  </si>
  <si>
    <t xml:space="preserve">Urea sealed inside a polymer membrane with no sulphur layer.</t>
  </si>
  <si>
    <t xml:space="preserve">SOIL TEMPERATURE primarily (water vapour crosses the membrane, dissolves the core, solution diffuses out). Coating thickness sets the duration.</t>
  </si>
  <si>
    <t xml:space="preserve">Sigmoidal — a lag, then the main release, then a tail.</t>
  </si>
  <si>
    <t xml:space="preserve">Typically specified 40–120 days by coating weight; grade-specific figure not published</t>
  </si>
  <si>
    <t xml:space="preserve">Temperature-driven, so release accelerates in a heatwave whether or not the turf wants it. A cracked prill releases everything at once.</t>
  </si>
  <si>
    <t xml:space="preserve">Urea-triazone</t>
  </si>
  <si>
    <t xml:space="preserve">Liquid slow-release N</t>
  </si>
  <si>
    <t xml:space="preserve">A cyclic triazone ring in solution. Growth Products' liquid SRN grades (Nitro-28, Nitro+K, The Classic 18-0-6) run 50–85% of total N as triazone.</t>
  </si>
  <si>
    <t xml:space="preserve">Slow enzymatic and microbial hydrolysis.</t>
  </si>
  <si>
    <t xml:space="preserve">Steady and non-phytotoxic; the low-burn property is what lets it be sprayed at rate.</t>
  </si>
  <si>
    <t xml:space="preserve">2–12 weeks depending on rate (Nitro-28 label)</t>
  </si>
  <si>
    <t xml:space="preserve">Lets a LIQUID behave like a slow-release granular — useful where a spray programme is preferred but the flush from straight urea is not.</t>
  </si>
  <si>
    <t xml:space="preserve">https://www.douglasplanthealth.com/wp-content/uploads/2023/03/Nitro-28_SRN_28-0-0_GP_Label-5.pdf</t>
  </si>
  <si>
    <t xml:space="preserve">Pearl</t>
  </si>
  <si>
    <t xml:space="preserve">Continuous-release phosphorus</t>
  </si>
  <si>
    <t xml:space="preserve">Recycled phosphorus recovered from wastewater via Ostara's Crystal Green process (struvite). Marketed as Root-Activated continuous-release P.</t>
  </si>
  <si>
    <t xml:space="preserve">Root activation — the activation mechanism is not published by ICL.</t>
  </si>
  <si>
    <t xml:space="preserve">Continuous P release; claim of up to 2.5× increase in rooting efficiency.</t>
  </si>
  <si>
    <t xml:space="preserve">3+ months on the Sierrablen Plus Pearl grades</t>
  </si>
  <si>
    <t xml:space="preserve">Not currently identified in Prebbles' listed range — relevant if you are benchmarking what they could bring in.</t>
  </si>
  <si>
    <t xml:space="preserve">https://icl-growingsolutions.com/en-gb/turf-landscape/categories/pearl-technology/</t>
  </si>
  <si>
    <t xml:space="preserve">ICL Australia/NZ turf &amp; landscape catalogue — including grades Prebbles do not currently list</t>
  </si>
  <si>
    <t xml:space="preserve">Product</t>
  </si>
  <si>
    <t xml:space="preserve">Published analysis</t>
  </si>
  <si>
    <t xml:space="preserve">Release technology</t>
  </si>
  <si>
    <t xml:space="preserve">Longevity</t>
  </si>
  <si>
    <t xml:space="preserve">Pack</t>
  </si>
  <si>
    <t xml:space="preserve">Sierrablen Turf Starter 16-10.9-10</t>
  </si>
  <si>
    <t xml:space="preserve">Elemental 16-10.9-10 (oxide 16-25-12). Water-sol P 8.2. N: ammoniacal 6%, urea 10%</t>
  </si>
  <si>
    <t xml:space="preserve">Re-laying / over-seeding</t>
  </si>
  <si>
    <t xml:space="preserve">Sierrablen Sportsturf +Fe 24-2.2-8.3</t>
  </si>
  <si>
    <t xml:space="preserve">Oxide 24-5-10 + Fe 2.0%. N: nitrate 1.3, ammoniacal 2.6, urea 20.1</t>
  </si>
  <si>
    <t xml:space="preserve">4–5 months</t>
  </si>
  <si>
    <t xml:space="preserve">30–45 g/m²</t>
  </si>
  <si>
    <t xml:space="preserve">Sierrablen Plus Active 3M 19-5-18+2MgO</t>
  </si>
  <si>
    <t xml:space="preserve">N 19, P2O5 5, K2O 18, MgO 2. Cu 0.035, Mn 0.14, Zn 0.08. N: nitrate 1.2, urea 16, ureaform 1.8</t>
  </si>
  <si>
    <t xml:space="preserve">Poly-S + ureaform</t>
  </si>
  <si>
    <t xml:space="preserve">3+ months</t>
  </si>
  <si>
    <t xml:space="preserve">25–35 g/m²</t>
  </si>
  <si>
    <t xml:space="preserve">Spring/autumn, stress recovery, colour</t>
  </si>
  <si>
    <t xml:space="preserve">https://icl-growingsolutions.com/en-au/turf-landscape/products/sierrablen-plus-active-3m/</t>
  </si>
  <si>
    <t xml:space="preserve">Sierrablen Plus Active 4-5M 18-5-18+2MgO</t>
  </si>
  <si>
    <t xml:space="preserve">N 18, P2O5 5, K2O 18, MgO 2 + full trace package. N: nitrate 3.4, ammoniacal 4.4, urea 8.6</t>
  </si>
  <si>
    <t xml:space="preserve">5+ months</t>
  </si>
  <si>
    <t xml:space="preserve">Spring/summer, stress recovery</t>
  </si>
  <si>
    <t xml:space="preserve">https://icl-growingsolutions.com/en-au/turf-landscape/products/sierrablen-active-4-5m/</t>
  </si>
  <si>
    <t xml:space="preserve">Sierrablen Plus Spring Starter 3M 24-2.2-6.6</t>
  </si>
  <si>
    <t xml:space="preserve">Oxide 24-5-8 + 2 MgO. N: nitrate 5.4, ammoniacal 6.4, urea 12, ureaform 0.2</t>
  </si>
  <si>
    <t xml:space="preserve">Poly-S + PACE</t>
  </si>
  <si>
    <t xml:space="preserve">3+ months (granule dispersal 7 days)</t>
  </si>
  <si>
    <t xml:space="preserve">First CRF of the season; responds at low soil temps</t>
  </si>
  <si>
    <t xml:space="preserve">https://icl-growingsolutions.com/en-au/turf-landscape/products/sierrablen-plus-spring-starter-3m/</t>
  </si>
  <si>
    <t xml:space="preserve">Sierrablen Plus Stress Control 3M 15-0-28+2MgO</t>
  </si>
  <si>
    <t xml:space="preserve">Oxide 15-0-28 + 2 MgO. Urea 13% + ureaform</t>
  </si>
  <si>
    <t xml:space="preserve">Winter prep; high K, zero P</t>
  </si>
  <si>
    <t xml:space="preserve">https://icl-growingsolutions.com/en-au/turf-landscape/products/sierrablen-plus-stress-control-3m/</t>
  </si>
  <si>
    <t xml:space="preserve">Sierrablen Renovator 3M 20-8.7-6.6</t>
  </si>
  <si>
    <t xml:space="preserve">Oxide 20-20-8. N: ammoniacal 4.4, urea 15.2</t>
  </si>
  <si>
    <t xml:space="preserve">3+ months (dispersal 7 days)</t>
  </si>
  <si>
    <t xml:space="preserve">Over-seeding, new turf</t>
  </si>
  <si>
    <t xml:space="preserve">https://icl-growingsolutions.com/en-au/turf-landscape/products/sierrablen-plus-renovator-3m/</t>
  </si>
  <si>
    <t xml:space="preserve">Sierrablen Plus Mini NPK 25-2.2-10</t>
  </si>
  <si>
    <t xml:space="preserve">Oxide 25-5-12. N: ammoniacal 1.2, urea 23.8. Granule 1–2.5 mm</t>
  </si>
  <si>
    <t xml:space="preserve">Controlled release (coating not named)</t>
  </si>
  <si>
    <t xml:space="preserve">General purpose CRF</t>
  </si>
  <si>
    <t xml:space="preserve">https://icl-growingsolutions.com/en-au/turf-landscape/products/25-5-12/</t>
  </si>
  <si>
    <t xml:space="preserve">Sierrablen Mini Hi K 0-0-32.4</t>
  </si>
  <si>
    <t xml:space="preserve">Oxide 0-0-39. Granule 1.0–2.5 mm</t>
  </si>
  <si>
    <t xml:space="preserve">No N component</t>
  </si>
  <si>
    <t xml:space="preserve">3–4 months</t>
  </si>
  <si>
    <t xml:space="preserve">Winter hardening; season K base</t>
  </si>
  <si>
    <t xml:space="preserve">https://icl-growingsolutions.com/en-au/turf-landscape/products/sierrablen-plus-mini-hi-k-0-0-32/</t>
  </si>
  <si>
    <t xml:space="preserve">Sierrablen Plus w/ Pearl Turf Starter 5-12.2-0</t>
  </si>
  <si>
    <t xml:space="preserve">Oxide 5-28-0 + 10 Mg. N 100% ammoniacal</t>
  </si>
  <si>
    <t xml:space="preserve">Pearl (Root-Activated continuous-release P)</t>
  </si>
  <si>
    <t xml:space="preserve">25 kg &amp; 1,000 kg</t>
  </si>
  <si>
    <t xml:space="preserve">Renovation, sodding, seeding</t>
  </si>
  <si>
    <t xml:space="preserve">https://icl-growingsolutions.com/en-au/turf-landscape/products/sierrablen-plus-turf-starter-with-pearl-technology/</t>
  </si>
  <si>
    <t xml:space="preserve">Sierrablen Plus Renovator w/ Pearl 11-4.8-4.2</t>
  </si>
  <si>
    <t xml:space="preserve">Oxide 11-11-5 + 8 MgO</t>
  </si>
  <si>
    <t xml:space="preserve">Pearl + Poly-S</t>
  </si>
  <si>
    <t xml:space="preserve">Seeding, over-seeding, sodding</t>
  </si>
  <si>
    <t xml:space="preserve">https://icl-growingsolutions.com/en-au/turf-landscape/products/sierrablen-plus-renovator-with-pearl-technology/</t>
  </si>
  <si>
    <t xml:space="preserve">Sierrablen Plus Spring &amp; Summer w/ Pearl 17-2.2-4.2</t>
  </si>
  <si>
    <t xml:space="preserve">Oxide 17-5-5 + 5 MgO + 2 CaO. N: ammoniacal 2.9, urea 14.1</t>
  </si>
  <si>
    <t xml:space="preserve">At least 3 months</t>
  </si>
  <si>
    <t xml:space="preserve">Spring/summer maintenance</t>
  </si>
  <si>
    <t xml:space="preserve">https://icl-growingsolutions.com/en-au/turf-landscape/products/sierrablen-plus-spring-summer-with-pearl-technology/</t>
  </si>
  <si>
    <t xml:space="preserve">Sierrablen Plus Autumn &amp; Winter w/ Pearl 10-2.2-12.5</t>
  </si>
  <si>
    <t xml:space="preserve">Oxide 10-5-15 + 5 MgO + 2 CaO. N: ammoniacal 2.1, urea 7.9</t>
  </si>
  <si>
    <t xml:space="preserve">Pearl + controlled-release N</t>
  </si>
  <si>
    <t xml:space="preserve">Late summer/autumn; disease and cold tolerance</t>
  </si>
  <si>
    <t xml:space="preserve">https://icl-growingsolutions.com/en-au/turf-landscape/products/sierrablen-plus-autumn-winter-with-pearl-technology/</t>
  </si>
  <si>
    <t xml:space="preserve">Sierraform GT Momentum 22-2.2-9.1</t>
  </si>
  <si>
    <t xml:space="preserve">Oxide 22-5-11 + 2 MgO. S 5.1, Fe 0.5, Mn 0.1, Cu 0.02, Zn 0.02, Mo 0.001. Ureaform 11.5% of 22</t>
  </si>
  <si>
    <t xml:space="preserve">MU2 + SilK</t>
  </si>
  <si>
    <t xml:space="preserve">All fine turf; spring/summer</t>
  </si>
  <si>
    <t xml:space="preserve">Sierraform GT Anti-Stress 15-0-21.6</t>
  </si>
  <si>
    <t xml:space="preserve">Oxide 15-0-26 + Fe 1. S 8.6, Si 4. Ureaform 7.8% of 15</t>
  </si>
  <si>
    <t xml:space="preserve">Abiotic stress, late season</t>
  </si>
  <si>
    <t xml:space="preserve">Sierraform GT All Season 18-2.6-14.9</t>
  </si>
  <si>
    <t xml:space="preserve">Oxide 18-6-18 + 2 MgO. S 5.7, Si 2.6, Fe 0.5. Ureaform 8.2% of 18</t>
  </si>
  <si>
    <t xml:space="preserve">6–8 weeks — ICL states 'in cooler weather'</t>
  </si>
  <si>
    <t xml:space="preserve">20–30 g/m²</t>
  </si>
  <si>
    <t xml:space="preserve">Spring to autumn, fine turf</t>
  </si>
  <si>
    <t xml:space="preserve">https://icl-growingsolutions.com/en-au/turf-landscape/products/sierraform-gt-all-season/</t>
  </si>
  <si>
    <t xml:space="preserve">Sierraform GT K-Step 6-0-22.4</t>
  </si>
  <si>
    <t xml:space="preserve">Oxide 6-0-27 + 2 MgO. S 9.4, Fe 0.70, Mn 0.15. Ureaform 5% of 6</t>
  </si>
  <si>
    <t xml:space="preserve">Autumn greens fertiliser</t>
  </si>
  <si>
    <t xml:space="preserve">https://icl-growingsolutions.com/en-au/turf-landscape/products/sierraform-gt-k-step/</t>
  </si>
  <si>
    <t xml:space="preserve">Sierraform GT Spring Start 16-0-13.3</t>
  </si>
  <si>
    <t xml:space="preserve">Oxide 16-0-16. S 14.9, Fe 1.0, Mn 0.30, Si 1.5. Ureaform 5.3% of 16</t>
  </si>
  <si>
    <t xml:space="preserve">Spring, cooler conditions</t>
  </si>
  <si>
    <t xml:space="preserve">https://icl-growingsolutions.com/en-au/turf-landscape/products/sierraform-gt-spring-start/</t>
  </si>
  <si>
    <t xml:space="preserve">Sierraform GT Preseeder 18-9.6-4.2</t>
  </si>
  <si>
    <t xml:space="preserve">Oxide 18-22-5. S 3, Si 0.9. Ureaform 8.6% of 18</t>
  </si>
  <si>
    <t xml:space="preserve">MU2 + slow-release K</t>
  </si>
  <si>
    <t xml:space="preserve">Over-seeding, new turf; low salt</t>
  </si>
  <si>
    <t xml:space="preserve">https://icl-growingsolutions.com/en-au/turf-landscape/products/sierraform-gt-preseeder-2/</t>
  </si>
  <si>
    <t xml:space="preserve">Sierraform GT Spring &amp; Summer CalMag 14-0-5.8</t>
  </si>
  <si>
    <t xml:space="preserve">Oxide 14-0-7 + 8 CaO + 5 MgO. Ureaform 9.8% of 14</t>
  </si>
  <si>
    <t xml:space="preserve">15–35 g/m² (21.0–49.0 kg N/ha)</t>
  </si>
  <si>
    <t xml:space="preserve">Low Ca/Mg soils, summer fine turf</t>
  </si>
  <si>
    <t xml:space="preserve">https://icl-growingsolutions.com/en-au/turf-landscape/products/sierraform-gt-calmag-2/</t>
  </si>
  <si>
    <t xml:space="preserve">Sierraform GT NK 19-0-15.8</t>
  </si>
  <si>
    <t xml:space="preserve">Oxide 19-0-19 + 2 MgO. Fe 0.50. Ureaform 9.6% of 19</t>
  </si>
  <si>
    <t xml:space="preserve">Zero-P where soil P is sufficient</t>
  </si>
  <si>
    <t xml:space="preserve">https://icl-growingsolutions.com/en-au/turf-landscape/products/sierraform-gt-nk-2/</t>
  </si>
  <si>
    <t xml:space="preserve">STEP Hi-Mag (Mg + TE)</t>
  </si>
  <si>
    <t xml:space="preserve">Mg 12.0 (MgO 20), Cu 0.5, Fe 8.0, Mn 3.0, Zn 1.0. No NPK. Granule 0.7–1.4 mm</t>
  </si>
  <si>
    <t xml:space="preserve">Slow release</t>
  </si>
  <si>
    <t xml:space="preserve">7–11 g/m²</t>
  </si>
  <si>
    <t xml:space="preserve">High-sand constructions</t>
  </si>
  <si>
    <t xml:space="preserve">https://icl-growingsolutions.com/en-au/turf-landscape/products/hi-mag/</t>
  </si>
  <si>
    <t xml:space="preserve">Greenmaster Pro-Lite NK 12-0-10</t>
  </si>
  <si>
    <t xml:space="preserve">Oxide 12-0-12 + 3 MgO + Fe 2.0. N: ammoniacal 4.1, urea 7.9. Granule 0.5–1.5 mm</t>
  </si>
  <si>
    <t xml:space="preserve">Conventional (no coating)</t>
  </si>
  <si>
    <t xml:space="preserve">6 weeks</t>
  </si>
  <si>
    <t xml:space="preserve">30–35 g/m²</t>
  </si>
  <si>
    <t xml:space="preserve">Greens, spring to late summer</t>
  </si>
  <si>
    <t xml:space="preserve">https://icl-growingsolutions.com/en-au/turf-landscape/products/greenmaster-pro-lite-nk/</t>
  </si>
  <si>
    <t xml:space="preserve">Greenmaster Pro-Lite Invigorator Plus 4-1.3-11.6</t>
  </si>
  <si>
    <t xml:space="preserve">Oxide 4-3-14 + 2 MgO + Fe 8.0. N 100% ammoniacal</t>
  </si>
  <si>
    <t xml:space="preserve">Conventional</t>
  </si>
  <si>
    <t xml:space="preserve">Low N/high K + Fe; autumn disease management</t>
  </si>
  <si>
    <t xml:space="preserve">https://icl-growingsolutions.com/en-au/turf-landscape/products/greenmaster-pro-lite-invigorator-plus/</t>
  </si>
  <si>
    <t xml:space="preserve">Greenmaster Pro-Lite Double K 7-0-11.6</t>
  </si>
  <si>
    <t xml:space="preserve">Oxide 7-0-14 + Fe 4.0. N: ammoniacal 2.8, urea 4.2</t>
  </si>
  <si>
    <t xml:space="preserve">30–35 g/m² (21.0–24.5 kg N/ha; 42–49 kg K/ha)</t>
  </si>
  <si>
    <t xml:space="preserve">1:2 N:K late season</t>
  </si>
  <si>
    <t xml:space="preserve">https://icl-growingsolutions.com/en-au/turf-landscape/products/greenmaster-pro-lite-double-k/</t>
  </si>
  <si>
    <t xml:space="preserve">Greenmaster Pro-Lite Cold Start 11-2.2-4.1</t>
  </si>
  <si>
    <t xml:space="preserve">Oxide 11-5-5 + Fe 8.0. N: ammoniacal 5.6, urea 5.4</t>
  </si>
  <si>
    <t xml:space="preserve">Early spring, cold climates</t>
  </si>
  <si>
    <t xml:space="preserve">https://icl-growingsolutions.com/en-au/turf-landscape/products/greenmaster-pro-lite-cold-start/</t>
  </si>
  <si>
    <t xml:space="preserve">Greenmaster Pro-Lite Spring &amp; Summer 14-2.2-8.3</t>
  </si>
  <si>
    <t xml:space="preserve">Oxide 14-5-10 + 2 MgO. N: ammoniacal 5.1, urea 8.9</t>
  </si>
  <si>
    <t xml:space="preserve">6 weeks (dispersal 3–4 days)</t>
  </si>
  <si>
    <t xml:space="preserve">Greens, spring/summer</t>
  </si>
  <si>
    <t xml:space="preserve">https://icl-growingsolutions.com/en-au/turf-landscape/products/greenmaster-pro-lite-spring-summer-2/</t>
  </si>
  <si>
    <t xml:space="preserve">Greenmaster Pro-Lite Zero Phosphate 14-0-8.3</t>
  </si>
  <si>
    <t xml:space="preserve">Oxide 14-0-10 + 3.4 MgO. N: ammoniacal 7.8, urea 2.2, ureaformaldehyde 4.0</t>
  </si>
  <si>
    <t xml:space="preserve">Conventional + small MU fraction</t>
  </si>
  <si>
    <t xml:space="preserve">Zero-P greens</t>
  </si>
  <si>
    <t xml:space="preserve">https://icl-growingsolutions.com/en-au/turf-landscape/products/greenmaster-pro-lite-zero-phosphate/</t>
  </si>
  <si>
    <t xml:space="preserve">Greenmaster Liquid NK 10-0-8.3</t>
  </si>
  <si>
    <t xml:space="preserve">Oxide 10-0-10. Urea N 8.7%. B/Cu/Mn/Mo/Zn trace. SG 1.23</t>
  </si>
  <si>
    <t xml:space="preserve">Liquid, conventional</t>
  </si>
  <si>
    <t xml:space="preserve">Up to 6 weeks</t>
  </si>
  <si>
    <t xml:space="preserve">40–120 L/ha in 400–600 L water (foliar) or 600–1000 (root)</t>
  </si>
  <si>
    <t xml:space="preserve">10 L &amp; 200 L</t>
  </si>
  <si>
    <t xml:space="preserve">Greens/fine turf</t>
  </si>
  <si>
    <t xml:space="preserve">https://icl-growingsolutions.com/en-au/turf-landscape/products/greenmaster-liquid-nk/</t>
  </si>
  <si>
    <t xml:space="preserve">Greenmaster Liquid High N 25-0-0</t>
  </si>
  <si>
    <t xml:space="preserve">N: nitrate 7.1, ammoniacal 5.9, urea 12. Mg 1.2 + TE (EDTA)</t>
  </si>
  <si>
    <t xml:space="preserve">40–80 L/ha foliar; 100–120 L/ha root</t>
  </si>
  <si>
    <t xml:space="preserve">High-N liquid feed</t>
  </si>
  <si>
    <t xml:space="preserve">https://icl-growingsolutions.com/en-au/turf-landscape/products/greenmaster-liquid-high-n-4/</t>
  </si>
  <si>
    <t xml:space="preserve">Greenmaster Liquid High K 3-1.3-8.3</t>
  </si>
  <si>
    <t xml:space="preserve">Oxide 3-3-10 + TE. SG 1.18</t>
  </si>
  <si>
    <t xml:space="preserve">40–120 L/ha (avg 80)</t>
  </si>
  <si>
    <t xml:space="preserve">Hardening / stress</t>
  </si>
  <si>
    <t xml:space="preserve">https://icl-growingsolutions.com/en-au/turf-landscape/products/greenmaster-liquid-high-k-2/</t>
  </si>
  <si>
    <t xml:space="preserve">Greenmaster Liquid Spring &amp; Summer 12-1.7-5.0</t>
  </si>
  <si>
    <t xml:space="preserve">Oxide 12-4-6 + TE. SG 1.18</t>
  </si>
  <si>
    <t xml:space="preserve">Feeding without excess growth</t>
  </si>
  <si>
    <t xml:space="preserve">https://icl-growingsolutions.com/en-au/turf-landscape/products/greenmaster-liquid-spring-summer/</t>
  </si>
  <si>
    <t xml:space="preserve">Greenmaster Liquid Effect Iron</t>
  </si>
  <si>
    <t xml:space="preserve">Fe 7.216% water-soluble, Cu 0.025, Zn 0.025</t>
  </si>
  <si>
    <t xml:space="preserve">Green-up within 3 hours, lasting up to 6 weeks</t>
  </si>
  <si>
    <t xml:space="preserve">10–30 L/ha (avg 20)</t>
  </si>
  <si>
    <t xml:space="preserve">Colour</t>
  </si>
  <si>
    <t xml:space="preserve">https://icl-growingsolutions.com/en-au/turf-landscape/products/greenmaster-liquid-effect-iron-fe/</t>
  </si>
  <si>
    <t xml:space="preserve">Greenmaster Liquid STEP (chelated TE)</t>
  </si>
  <si>
    <t xml:space="preserve">B 0.20, Cu 1.0, Mn 1.50, Mo 0.10, Zn 1.0. No NPK</t>
  </si>
  <si>
    <t xml:space="preserve">Liquid, chelated</t>
  </si>
  <si>
    <t xml:space="preserve">20–60 L/ha (avg 40)</t>
  </si>
  <si>
    <t xml:space="preserve">10 L only</t>
  </si>
  <si>
    <t xml:space="preserve">Trace element correction</t>
  </si>
  <si>
    <t xml:space="preserve">https://icl-growingsolutions.com/en-au/turf-landscape/products/greenmaster-liquid-step-chelated-trace-elements/</t>
  </si>
  <si>
    <t xml:space="preserve">ProTurf NK 20-0-5.8</t>
  </si>
  <si>
    <t xml:space="preserve">Oxide 20-0-7 + 3 CaO + 3 MgO. N = urea 20%. Granule 1–2.5 mm</t>
  </si>
  <si>
    <t xml:space="preserve">Controlled release with uncoated segments</t>
  </si>
  <si>
    <t xml:space="preserve">2–3 months (dispersal 8 days)</t>
  </si>
  <si>
    <t xml:space="preserve">20–35 g/m²</t>
  </si>
  <si>
    <t xml:space="preserve">25 kg &amp; 500 kg</t>
  </si>
  <si>
    <t xml:space="preserve">Tees, fairways, sports fields, lawns</t>
  </si>
  <si>
    <t xml:space="preserve">https://icl-growingsolutions.com/en-au/turf-landscape/products/proturf-20-0-73cao3mgo/</t>
  </si>
  <si>
    <t xml:space="preserve">ProTurf NPK 15-2.6-12.5</t>
  </si>
  <si>
    <t xml:space="preserve">Oxide 15-6-15 + 7 CaO + 2.5 MgO. Contains polyhalite. N: ammoniacal 1.4, urea 13.6</t>
  </si>
  <si>
    <t xml:space="preserve">Controlled release + compound</t>
  </si>
  <si>
    <t xml:space="preserve">Tees, fairways, sports fields</t>
  </si>
  <si>
    <t xml:space="preserve">https://icl-growingsolutions.com/en-au/turf-landscape/products/proturf-15-6-15-7cao2-5mgo/</t>
  </si>
  <si>
    <t xml:space="preserve">ProTurf Hi K 12-2.2-16.6</t>
  </si>
  <si>
    <t xml:space="preserve">Oxide 12-5-20 + 6 CaO + 2.5 MgO. N: ammoniacal 1.3, urea 10.7</t>
  </si>
  <si>
    <t xml:space="preserve">Controlled release</t>
  </si>
  <si>
    <t xml:space="preserve">Hardening. NOTE: URL slug (21-5-6) contradicts the published analysis — verify with ICL</t>
  </si>
  <si>
    <t xml:space="preserve">https://icl-growingsolutions.com/en-au/turf-landscape/products/proturf-21-5-62-5cao2-5mgo/</t>
  </si>
  <si>
    <t xml:space="preserve">Landscaper Pro New Grass 20-8.7-6.6</t>
  </si>
  <si>
    <t xml:space="preserve">Oxide 20-20-8 + 21 SO3. N: ammoniacal 4.6, urea 15.4</t>
  </si>
  <si>
    <t xml:space="preserve">Up to 3 months</t>
  </si>
  <si>
    <t xml:space="preserve">35 g/m²</t>
  </si>
  <si>
    <t xml:space="preserve">15 kg</t>
  </si>
  <si>
    <t xml:space="preserve">https://icl-growingsolutions.com/en-au/turf-landscape/products/landscaper-pro-new-grass/</t>
  </si>
  <si>
    <t xml:space="preserve">Landscaper Pro Spring &amp; Summer 20-0-5.8</t>
  </si>
  <si>
    <t xml:space="preserve">Oxide 20-0-7 + 9 CaO + 3 MgO. Contains polyhalite. N = urea 20%</t>
  </si>
  <si>
    <t xml:space="preserve">Up to 3 months (response 7 days)</t>
  </si>
  <si>
    <t xml:space="preserve">Amenity turf</t>
  </si>
  <si>
    <t xml:space="preserve">https://icl-growingsolutions.com/en-au/turf-landscape/products/landscaper-pro-spring-summer/</t>
  </si>
  <si>
    <t xml:space="preserve">Landscaper Pro All Round 24-2.2-6.6</t>
  </si>
  <si>
    <t xml:space="preserve">Oxide 24-5-8 + 2 MgO. N: nitrate 5.4, ammoniacal 6.2, urea 12, ureaform 0.2</t>
  </si>
  <si>
    <t xml:space="preserve">Coated (ICL: 'unique coating')</t>
  </si>
  <si>
    <t xml:space="preserve">45 g/m² (15 kg covers 330 m²)</t>
  </si>
  <si>
    <t xml:space="preserve">Amenity turf, single-hit season feed</t>
  </si>
  <si>
    <t xml:space="preserve">https://icl-growingsolutions.com/en-au/turf-landscape/products/landscaper-pro-allround/</t>
  </si>
  <si>
    <t xml:space="preserve">Sportsmaster CRF High N 26-2.2-9.1</t>
  </si>
  <si>
    <t xml:space="preserve">Oxide 26-5-11 + 2 MgO. Cu 0.018, Zn 0.038. N: nitrate 0.6, ammoniacal 1.7, urea 23.7</t>
  </si>
  <si>
    <t xml:space="preserve">Poly-S + PACE, partly uncoated</t>
  </si>
  <si>
    <t xml:space="preserve">https://icl-growingsolutions.com/en-au/turf-landscape/products/sportsmaster-crf-high-n/</t>
  </si>
  <si>
    <t xml:space="preserve">Sportsmaster Base Fairway 12-2.6-7.4</t>
  </si>
  <si>
    <t xml:space="preserve">Oxide 12-6-9 + 3 CaO + 2 MgO. N: ammoniacal 1.4, urea 10.6</t>
  </si>
  <si>
    <t xml:space="preserve">35–50 g/m²</t>
  </si>
  <si>
    <t xml:space="preserve">Fairways, spring/summer</t>
  </si>
  <si>
    <t xml:space="preserve">https://icl-growingsolutions.com/en-au/turf-landscape/products/sportsmaster-base-fairway/</t>
  </si>
  <si>
    <t xml:space="preserve">Sportsmaster Base Cal K Mag 0-0-11.6</t>
  </si>
  <si>
    <t xml:space="preserve">Oxide 0-0-14 + 13 CaO + 6 MgO + S 19.2. No N</t>
  </si>
  <si>
    <t xml:space="preserve">Pre-stress conditioning</t>
  </si>
  <si>
    <t xml:space="preserve">https://icl-growingsolutions.com/en-au/turf-landscape/products/sportsmaster-base-cal-k-mag/</t>
  </si>
  <si>
    <t xml:space="preserve">Sportsmaster WSF High N 35-0-11.6</t>
  </si>
  <si>
    <t xml:space="preserve">Oxide 35-0-14. N: nitrate 4.3, urea 30.7. Water-soluble powder</t>
  </si>
  <si>
    <t xml:space="preserve">TMax (water-soluble)</t>
  </si>
  <si>
    <t xml:space="preserve">2–4 weeks depending on rate</t>
  </si>
  <si>
    <t xml:space="preserve">15–60 kg/ha; water 300–600 L/ha foliar</t>
  </si>
  <si>
    <t xml:space="preserve">Foliar/fertigation</t>
  </si>
  <si>
    <t xml:space="preserve">https://icl-growingsolutions.com/en-au/turf-landscape/products/sportsmaster-wsf-high-n/</t>
  </si>
  <si>
    <t xml:space="preserve">Sportsmaster WSF High K 15-0-35.7</t>
  </si>
  <si>
    <t xml:space="preserve">Oxide 15-0-43. Water-soluble powder</t>
  </si>
  <si>
    <t xml:space="preserve">TMax</t>
  </si>
  <si>
    <t xml:space="preserve">2–4 weeks</t>
  </si>
  <si>
    <t xml:space="preserve">15 / 30 / 45 / 60 kg/ha by method</t>
  </si>
  <si>
    <t xml:space="preserve">https://icl-growingsolutions.com/en-au/turf-landscape/products/sportsmaster-wsf-high-k/</t>
  </si>
  <si>
    <t xml:space="preserve">Sportsmaster WSF Iron</t>
  </si>
  <si>
    <t xml:space="preserve">Fe 19.5% water-soluble. No NPK</t>
  </si>
  <si>
    <t xml:space="preserve">Conventional water-soluble</t>
  </si>
  <si>
    <t xml:space="preserve">10–20 kg/ha; water 900 L/ha</t>
  </si>
  <si>
    <t xml:space="preserve">Colour at low soil temperatures</t>
  </si>
  <si>
    <t xml:space="preserve">https://icl-growingsolutions.com/en-au/turf-landscape/products/sportsmaster-wsf-iron/</t>
  </si>
  <si>
    <t xml:space="preserve">LebanonTurf catalogue — ProScape, Country Club, Country Club MD/IV, Woodace, Emerald Isle</t>
  </si>
  <si>
    <t xml:space="preserve">N sources &amp; % slow release N</t>
  </si>
  <si>
    <t xml:space="preserve">SGN</t>
  </si>
  <si>
    <t xml:space="preserve">Typical use &amp; rate</t>
  </si>
  <si>
    <t xml:space="preserve">ProScape 30-0-0 100% MESA</t>
  </si>
  <si>
    <t xml:space="preserve">30-0-0. S 12.0%. Label N: ammoniacal 6.0, WIN 3.8, urea 8.83, other WS 6.46</t>
  </si>
  <si>
    <t xml:space="preserve">100% of N from MESA. Label SRN 17.0% of 30 = 56.7%</t>
  </si>
  <si>
    <t xml:space="preserve">195 (standard)</t>
  </si>
  <si>
    <t xml:space="preserve">22.68 kg</t>
  </si>
  <si>
    <t xml:space="preserve">Landscape / commercial turf. Rate 130 lb/ac (≈146 kg/ha) at 0.9 lb N</t>
  </si>
  <si>
    <t xml:space="preserve">https://www.lebanonturf.com/labels/2154257.pdf</t>
  </si>
  <si>
    <t xml:space="preserve">ProScape 25-0-5 51% MESA 1% Fe</t>
  </si>
  <si>
    <t xml:space="preserve">25-0-5 + Fe 1.0%, S 5.0%. K from MOP (Cl ≤2%)</t>
  </si>
  <si>
    <t xml:space="preserve">51% MESA. Label SRN 6.2% of 25 = 24.8% (page says 29% — use label)</t>
  </si>
  <si>
    <t xml:space="preserve">220 (per US distributor)</t>
  </si>
  <si>
    <t xml:space="preserve">22.68 kg / 454 kg / 907 kg bulk</t>
  </si>
  <si>
    <t xml:space="preserve">Landscape. 159 lb/ac (≈178 kg/ha) at 0.9 lb N</t>
  </si>
  <si>
    <t xml:space="preserve">ProScape 32-0-6 30% MESA</t>
  </si>
  <si>
    <t xml:space="preserve">32-0-6</t>
  </si>
  <si>
    <t xml:space="preserve">30% MESA; SRN 20%</t>
  </si>
  <si>
    <t xml:space="preserve">Standard</t>
  </si>
  <si>
    <t xml:space="preserve">Landscape. 31,200 ft²/bag</t>
  </si>
  <si>
    <t xml:space="preserve">https://www.lebanonturf.com/products/2254324</t>
  </si>
  <si>
    <t xml:space="preserve">ProScape 20-0-5 30% MESA 1% Fe</t>
  </si>
  <si>
    <t xml:space="preserve">20-0-5 + Fe 1.0%</t>
  </si>
  <si>
    <t xml:space="preserve">30% MESA; SRN 23%</t>
  </si>
  <si>
    <t xml:space="preserve">Landscape. 13,300 ft²/bag</t>
  </si>
  <si>
    <t xml:space="preserve">https://www.lebanonturf.com/products/2254316</t>
  </si>
  <si>
    <t xml:space="preserve">ProScape 25-0-6 50% MESA-XP</t>
  </si>
  <si>
    <t xml:space="preserve">25-0-6</t>
  </si>
  <si>
    <t xml:space="preserve">50% MESA-XP; SRN 34%. K 100% controlled-release SOP</t>
  </si>
  <si>
    <t xml:space="preserve">22.68 kg / 907 kg bulk</t>
  </si>
  <si>
    <t xml:space="preserve">Landscape</t>
  </si>
  <si>
    <t xml:space="preserve">https://www.lebanonturf.com/products/2254020</t>
  </si>
  <si>
    <t xml:space="preserve">ProScape 20-0-25 100% EXPO</t>
  </si>
  <si>
    <t xml:space="preserve">20-0-25</t>
  </si>
  <si>
    <t xml:space="preserve">100% Meth-Ex; SRN 85% — highest SRN in the ProScape range. K 100% EXPO</t>
  </si>
  <si>
    <t xml:space="preserve">Standard, homogeneous</t>
  </si>
  <si>
    <t xml:space="preserve">High-K landscape / hardening</t>
  </si>
  <si>
    <t xml:space="preserve">https://lebanonturf.com/products/2154242</t>
  </si>
  <si>
    <t xml:space="preserve">Country Club 34-0-0 100% MESA</t>
  </si>
  <si>
    <t xml:space="preserve">34-0-0. S 6.0%. Label N: ammoniacal 6.5, WIN 8.6, urea 3.9, other WS 15.0</t>
  </si>
  <si>
    <t xml:space="preserve">100% MESA. Label SRN 23.5% of 34 = 69.1% (page shows 100% — that is the MESA figure, not SRN)</t>
  </si>
  <si>
    <t xml:space="preserve">150</t>
  </si>
  <si>
    <t xml:space="preserve">Tees, fairways, sportsturf. 115 lb/ac (≈129 kg/ha) at 0.9 lb N</t>
  </si>
  <si>
    <t xml:space="preserve">https://www.lebanonturf.com/labels/2137294.pdf</t>
  </si>
  <si>
    <t xml:space="preserve">Country Club 27-0-5 100% MESA-XP SOP</t>
  </si>
  <si>
    <t xml:space="preserve">27-0-5. S 11.2%. Label N: ammoniacal 8.2, WIN 6.3, urea 1.5, other WS 11.0</t>
  </si>
  <si>
    <t xml:space="preserve">100% MESA-XP. Label SRN 17.3% of 27 = 64.1%</t>
  </si>
  <si>
    <t xml:space="preserve">22.68 kg / 454 kg / 907 kg</t>
  </si>
  <si>
    <t xml:space="preserve">Tees, fairways. 144 lb/ac (≈161 kg/ha) at 0.9 lb N</t>
  </si>
  <si>
    <t xml:space="preserve">https://www.lebanonturf.com/labels/2135763.pdf</t>
  </si>
  <si>
    <t xml:space="preserve">Country Club 19-0-19 100% MESA 3% Fe</t>
  </si>
  <si>
    <t xml:space="preserve">19-0-19 + Fe 3.0%. K from SOP</t>
  </si>
  <si>
    <t xml:space="preserve">100% MESA; SRN 70%</t>
  </si>
  <si>
    <t xml:space="preserve">150 (blend)</t>
  </si>
  <si>
    <t xml:space="preserve">22.68 kg / 454 kg</t>
  </si>
  <si>
    <t xml:space="preserve">Tees, fairways, sportsturf</t>
  </si>
  <si>
    <t xml:space="preserve">Country Club 29-0-10 36% MESA</t>
  </si>
  <si>
    <t xml:space="preserve">29-0-10. K from MOP</t>
  </si>
  <si>
    <t xml:space="preserve">36% MESA; SRN 21%</t>
  </si>
  <si>
    <t xml:space="preserve">150 (per AU distributor)</t>
  </si>
  <si>
    <t xml:space="preserve">Roughs, clubhouse, general turf. AU rate 200–250 kg/ha</t>
  </si>
  <si>
    <t xml:space="preserve">https://www.lebanonturf.com/products/2229084</t>
  </si>
  <si>
    <t xml:space="preserve">Country Club 39-0-0 100% U-Form</t>
  </si>
  <si>
    <t xml:space="preserve">39-0-0</t>
  </si>
  <si>
    <t xml:space="preserve">100% U-Form ureaform — longest-chain MU</t>
  </si>
  <si>
    <t xml:space="preserve">Long-residual straight N</t>
  </si>
  <si>
    <t xml:space="preserve">https://www.lebanonturf.com/products/2137246</t>
  </si>
  <si>
    <t xml:space="preserve">Country Club 26-0-5 52% Meth-Ex</t>
  </si>
  <si>
    <t xml:space="preserve">26-0-5</t>
  </si>
  <si>
    <t xml:space="preserve">52% Meth-Ex</t>
  </si>
  <si>
    <t xml:space="preserve">Tees, fairways</t>
  </si>
  <si>
    <t xml:space="preserve">https://www.lebanonturf.com/products/2140590</t>
  </si>
  <si>
    <t xml:space="preserve">Country Club 22-0-12 50% Meth-Ex</t>
  </si>
  <si>
    <t xml:space="preserve">22-0-12</t>
  </si>
  <si>
    <t xml:space="preserve">50% Meth-Ex</t>
  </si>
  <si>
    <t xml:space="preserve">https://www.lebanonturf.com/products/2229085</t>
  </si>
  <si>
    <t xml:space="preserve">Country Club 17-0-17 100% Meth-Ex 100% EXPO</t>
  </si>
  <si>
    <t xml:space="preserve">17-0-17</t>
  </si>
  <si>
    <t xml:space="preserve">100% Meth-Ex N; K 100% EXPO extended-release SOP</t>
  </si>
  <si>
    <t xml:space="preserve">Balanced N/K with extended K</t>
  </si>
  <si>
    <t xml:space="preserve">https://www.lebanonturf.com/products/2235743</t>
  </si>
  <si>
    <t xml:space="preserve">Country Club 24-0-12 60% MESA 100% EXPO</t>
  </si>
  <si>
    <t xml:space="preserve">24-0-12</t>
  </si>
  <si>
    <t xml:space="preserve">60% MESA; K 100% EXPO</t>
  </si>
  <si>
    <t xml:space="preserve">Tees, fairways — likely the grade Prebbles list as 24-0-10 elemental</t>
  </si>
  <si>
    <t xml:space="preserve">Country Club 20-0-10 60% MESA 100% EXPO</t>
  </si>
  <si>
    <t xml:space="preserve">20-0-10</t>
  </si>
  <si>
    <t xml:space="preserve">https://www.lebanonturf.com/products/2237116</t>
  </si>
  <si>
    <t xml:space="preserve">Country Club 14-0-14 70% MESA SOP + 11.2% Humic Max</t>
  </si>
  <si>
    <t xml:space="preserve">14-0-14 + 11.2% humic</t>
  </si>
  <si>
    <t xml:space="preserve">70% MESA</t>
  </si>
  <si>
    <t xml:space="preserve">Fertiliser + humic in one</t>
  </si>
  <si>
    <t xml:space="preserve">https://www.lebanonturf.com/products/2237126</t>
  </si>
  <si>
    <t xml:space="preserve">Country Club 8-4-24 65% MESA SOP + 11.6% Humic Max</t>
  </si>
  <si>
    <t xml:space="preserve">8-4-24 + 11.6% humic</t>
  </si>
  <si>
    <t xml:space="preserve">65% MESA</t>
  </si>
  <si>
    <t xml:space="preserve">High-K + humic</t>
  </si>
  <si>
    <t xml:space="preserve">https://www.lebanonturf.com/products/2237132</t>
  </si>
  <si>
    <t xml:space="preserve">Country Club MD 18-0-18 64% Meth-Ex</t>
  </si>
  <si>
    <t xml:space="preserve">18-0-18. S 12.3%, Mg 0.5, Fe 1.6, Mn 0.5. SOP</t>
  </si>
  <si>
    <t xml:space="preserve">64% Meth-Ex. Label SRN 10.0% of 18 = 55.6%</t>
  </si>
  <si>
    <t xml:space="preserve">80</t>
  </si>
  <si>
    <t xml:space="preserve">18.14 kg</t>
  </si>
  <si>
    <t xml:space="preserve">Greens. 217 lb/ac (≈243 kg/ha) at 0.9 lb N</t>
  </si>
  <si>
    <t xml:space="preserve">https://www.lebanonturf.com/labels/2135734.pdf</t>
  </si>
  <si>
    <t xml:space="preserve">Country Club MD 14-7-14 70% Meth-Ex</t>
  </si>
  <si>
    <t xml:space="preserve">14-7-14. S 6.6%, Mg 1.5, Fe 2.0, Mn 1.0. Derived-from includes POTASSIUM HUMATE and KELP</t>
  </si>
  <si>
    <t xml:space="preserve">70% Meth-Ex. Label SRN 8.4% of 14 = 60.0%</t>
  </si>
  <si>
    <t xml:space="preserve">Greens. 279 lb/ac (≈313 kg/ha) at 0.9 lb N</t>
  </si>
  <si>
    <t xml:space="preserve">https://www.lebanonturf.com/labels/2129072.pdf</t>
  </si>
  <si>
    <t xml:space="preserve">Country Club MD 16-0-8 Ammoniacal</t>
  </si>
  <si>
    <t xml:space="preserve">16-0-8. S 20.0% (highest in range), Mg 1.0, Fe 1.0, Mn 0.5. Label N: ammoniacal 14.6, urea 1.4</t>
  </si>
  <si>
    <t xml:space="preserve">0% SRN — no slowly-available N on the label. '100% All Mineral'</t>
  </si>
  <si>
    <t xml:space="preserve">Greens; pH management, fast response. High rate caps at 0.7 lb N</t>
  </si>
  <si>
    <t xml:space="preserve">Country Club MD 18-3-18 78% Meth-Ex</t>
  </si>
  <si>
    <t xml:space="preserve">18-3-18. Fe 1.5, Mg 0.65, Mn 0.5. SOP</t>
  </si>
  <si>
    <t xml:space="preserve">78% Meth-Ex; SRN 68% — highest in the MD range</t>
  </si>
  <si>
    <t xml:space="preserve">Greens workhorse</t>
  </si>
  <si>
    <t xml:space="preserve">Country Club MD 22-0-16 64% Meth-Ex</t>
  </si>
  <si>
    <t xml:space="preserve">22-0-16. Fe 1.6, Mg 0.7, Mn 0.8. SOP</t>
  </si>
  <si>
    <t xml:space="preserve">64% Meth-Ex; published SRN 80% — INCONSISTENT, verify</t>
  </si>
  <si>
    <t xml:space="preserve">Greens, higher N</t>
  </si>
  <si>
    <t xml:space="preserve">Country Club MD 12-0-24 65% Meth-Ex</t>
  </si>
  <si>
    <t xml:space="preserve">12-0-24. Fe 1.6, Mg 0.5, Mn 0.5. SOP</t>
  </si>
  <si>
    <t xml:space="preserve">65% Meth-Ex; SRN 55%</t>
  </si>
  <si>
    <t xml:space="preserve">Greens, high K</t>
  </si>
  <si>
    <t xml:space="preserve">Country Club MD 12-24-8 40% Meth-Ex SOP</t>
  </si>
  <si>
    <t xml:space="preserve">12-24-8</t>
  </si>
  <si>
    <t xml:space="preserve">40% Meth-Ex</t>
  </si>
  <si>
    <t xml:space="preserve">Greens establishment</t>
  </si>
  <si>
    <t xml:space="preserve">https://www.lebanonturf.com/products/2129076</t>
  </si>
  <si>
    <t xml:space="preserve">Country Club MD 10-5-20 50% Meth-Ex</t>
  </si>
  <si>
    <t xml:space="preserve">10-5-20. Fe 1.5, Mg 0.5, Mn 0.5. SOP</t>
  </si>
  <si>
    <t xml:space="preserve">Greens</t>
  </si>
  <si>
    <t xml:space="preserve">https://www.lebanonturf.com/products/2137299</t>
  </si>
  <si>
    <t xml:space="preserve">Country Club MD 0-0-25 100% SOP 2% Mg 2% Mn</t>
  </si>
  <si>
    <t xml:space="preserve">0-0-25 + Mg 2, Mn 2</t>
  </si>
  <si>
    <t xml:space="preserve">No N</t>
  </si>
  <si>
    <t xml:space="preserve">Straight greens K</t>
  </si>
  <si>
    <t xml:space="preserve">https://www.lebanonturf.com/products/2137305</t>
  </si>
  <si>
    <t xml:space="preserve">Country Club IV 17-0-17 50% Meth-Ex</t>
  </si>
  <si>
    <t xml:space="preserve">17-0-17 + Fe 1.0, Mn 0.5. SOP. Label N: ammoniacal 5.4, WIN 2.7, urea 4.5, other WS 4.4</t>
  </si>
  <si>
    <t xml:space="preserve">50% Meth-Ex. Label SRN 7.1% of 17 = 41.8%</t>
  </si>
  <si>
    <t xml:space="preserve">Greens. Canadian label: 1–2.8 kg/100 m² every 4–8 weeks — the only reapplication interval published anywhere in the range</t>
  </si>
  <si>
    <t xml:space="preserve">https://www.lebanonturf.com/labels/2137188.pdf</t>
  </si>
  <si>
    <t xml:space="preserve">Country Club IV 24-3-12 75% Meth-Ex SOP</t>
  </si>
  <si>
    <t xml:space="preserve">24-3-12. Label N: ammoniacal 2.0, WIN 6.8, urea 5.7, other WS 9.5</t>
  </si>
  <si>
    <t xml:space="preserve">75% Meth-Ex. Label SRN 16.3% of 24 = 67.9%</t>
  </si>
  <si>
    <t xml:space="preserve">Greens. Metric label: 1.83 kg/100 m² = 0.41 kg N/100 m²</t>
  </si>
  <si>
    <t xml:space="preserve">https://www.lebanonturf.com/labels/2137193.pdf</t>
  </si>
  <si>
    <t xml:space="preserve">Country Club IV 18-9-18 70% Meth-Ex SOP</t>
  </si>
  <si>
    <t xml:space="preserve">18-9-18 + Fe 0.5, Mg 0.5, Mn 0.5</t>
  </si>
  <si>
    <t xml:space="preserve">70% Meth-Ex</t>
  </si>
  <si>
    <t xml:space="preserve">https://www.lebanonturf.com/products/2137190</t>
  </si>
  <si>
    <t xml:space="preserve">Country Club IV 0-0-25 SOP 2% Mg 2% Mn</t>
  </si>
  <si>
    <t xml:space="preserve">Country Club Natural 10-0-4 Greens Grade</t>
  </si>
  <si>
    <t xml:space="preserve">10-0-4. N from feather meal, wheat bran, meat and bone meal. No manure, no synthetic N</t>
  </si>
  <si>
    <t xml:space="preserve">93% SRN — highest in the LebanonTurf catalogue</t>
  </si>
  <si>
    <t xml:space="preserve">100 (range page says 90 — conflict)</t>
  </si>
  <si>
    <t xml:space="preserve">Organic greens programme. 8,000 ft²/bag</t>
  </si>
  <si>
    <t xml:space="preserve">https://www.lebanonturf.com/products/2737192</t>
  </si>
  <si>
    <t xml:space="preserve">Woodace 18-5-10 Longterm (U-Form + EXPO)</t>
  </si>
  <si>
    <t xml:space="preserve">18-5-10. WIN 9.6%, S 2.5, Mg 0.5, Fe 1.6, Mn 0.3</t>
  </si>
  <si>
    <t xml:space="preserve">33% U-Form; K 15% EXPO. Label SRN 14.2% of 18 = 78.9%</t>
  </si>
  <si>
    <t xml:space="preserve">Standard (blend)</t>
  </si>
  <si>
    <t xml:space="preserve">Trees, shrubs, beds — NOT turf</t>
  </si>
  <si>
    <t xml:space="preserve">Woodace 12-3-6 A.C.R.E. (MESA + EcoPerk)</t>
  </si>
  <si>
    <t xml:space="preserve">12-3-6. S 4.5% (acidifying), Fe 0.5, Mn 0.5. P from DAP, K 100% SOP</t>
  </si>
  <si>
    <t xml:space="preserve">21% MESA; SRN 56%</t>
  </si>
  <si>
    <t xml:space="preserve">Acid-loving ornamentals — NOT turf</t>
  </si>
  <si>
    <t xml:space="preserve">Emerald Isle True Foliar N 19-1-6</t>
  </si>
  <si>
    <t xml:space="preserve">19-1-6. Urea + ammonium nitrate + Fe/Mn/Zn/Cu</t>
  </si>
  <si>
    <t xml:space="preserve">Conventional liquid</t>
  </si>
  <si>
    <t xml:space="preserve">n/a</t>
  </si>
  <si>
    <t xml:space="preserve">Foliar turf feed</t>
  </si>
  <si>
    <t xml:space="preserve">https://www.lebanonturf.com/brands/emerald-isle-solutions</t>
  </si>
  <si>
    <t xml:space="preserve">Emerald Isle True Foliar Si 3-0-10</t>
  </si>
  <si>
    <t xml:space="preserve">3-0-10 + 1% silicon. K citrate &amp; carbonate + 45% seaplant extract</t>
  </si>
  <si>
    <t xml:space="preserve">Conventional liquid + biostimulant</t>
  </si>
  <si>
    <t xml:space="preserve">Foliar Si and K</t>
  </si>
  <si>
    <t xml:space="preserve">Emerald Isle PanaSea Plus 0-2-2</t>
  </si>
  <si>
    <t xml:space="preserve">0-2-2. 100% seaplant extract + phosphoric acid</t>
  </si>
  <si>
    <t xml:space="preserve">Seaweed biostimulant</t>
  </si>
  <si>
    <t xml:space="preserve">Emerald Isle TurfVigor 9-3-6</t>
  </si>
  <si>
    <t xml:space="preserve">9-3-6 + Fe 0.6, Mn 0.05, beneficial bacteria, seaplant extract</t>
  </si>
  <si>
    <t xml:space="preserve">Liquid + biological</t>
  </si>
  <si>
    <t xml:space="preserve">Greens, tees, fairways, sportsturf</t>
  </si>
  <si>
    <t xml:space="preserve">https://www.lebanonturf.com/products/3718977</t>
  </si>
  <si>
    <t xml:space="preserve">Growth Products (now DPH Biologicals) liquid range</t>
  </si>
  <si>
    <t xml:space="preserve">Analysis</t>
  </si>
  <si>
    <t xml:space="preserve">% slow release N</t>
  </si>
  <si>
    <t xml:space="preserve">Mechanism</t>
  </si>
  <si>
    <t xml:space="preserve">Nitro+K (Nitro-K SRN) 22-0-16</t>
  </si>
  <si>
    <t xml:space="preserve">22-0-16. N: 3.3% urea + 18.7% slowly available. K from potassium carbonate</t>
  </si>
  <si>
    <t xml:space="preserve">~85% — highest SRN in the Growth Products liquid range</t>
  </si>
  <si>
    <t xml:space="preserve">Urea-triazone: slow enzymatic and microbial hydrolysis of the triazone ring</t>
  </si>
  <si>
    <t xml:space="preserve">not published as a discrete figure</t>
  </si>
  <si>
    <t xml:space="preserve">Tees &amp; greens 5–6 oz/1,000 ft² (≈15–19 L/ha) every 7–14 days; fairways ≈38–46 L/ha every 21–31 days</t>
  </si>
  <si>
    <t xml:space="preserve">9.46 L (2.5 gal)</t>
  </si>
  <si>
    <t xml:space="preserve">https://www.douglasplanthealth.com/wp-content/uploads/2024/07/Nitro-K_22_0-16-1-1.pdf</t>
  </si>
  <si>
    <t xml:space="preserve">Nitro-28 SRN 28-0-0</t>
  </si>
  <si>
    <t xml:space="preserve">28-0-0. N: 7.8% urea + 20.2% slowly available</t>
  </si>
  <si>
    <t xml:space="preserve">~72%</t>
  </si>
  <si>
    <t xml:space="preserve">Urea-triazone; steady, non-phytotoxic extended release</t>
  </si>
  <si>
    <t xml:space="preserve">Label correlates applications to a 2–12 week N release window</t>
  </si>
  <si>
    <t xml:space="preserve">Tees &amp; greens 4–5 oz/1,000 ft² (≈12.7–15.9 L/ha) every 7–14 days</t>
  </si>
  <si>
    <t xml:space="preserve">9.46 L</t>
  </si>
  <si>
    <t xml:space="preserve">The Classic 18-0-6</t>
  </si>
  <si>
    <t xml:space="preserve">18-0-6. N: 7.9% urea, 1.1% ammoniacal, 9.0% slowly available. Chelated Cu/Fe/Mn/Zn</t>
  </si>
  <si>
    <t xml:space="preserve">50%</t>
  </si>
  <si>
    <t xml:space="preserve">Programmes from weekly to 8-week N release</t>
  </si>
  <si>
    <t xml:space="preserve">Tees &amp; greens ≈21–27 L/ha every 7–14 days; fairways ≈54–64 L/ha every 21–28 days</t>
  </si>
  <si>
    <t xml:space="preserve">https://www.douglasplanthealth.com/wp-content/uploads/2024/07/The_Classic_18-0-6_GP_Label-5-1-1-2-10-1.pdf</t>
  </si>
  <si>
    <t xml:space="preserve">The Classic 18-3-6</t>
  </si>
  <si>
    <t xml:space="preserve">18-3-6. Same N split as above. Chelated Cu/Fe/Mn/Zn (EDTA)</t>
  </si>
  <si>
    <t xml:space="preserve">This label describes the SRN as METHYLENE UREA (MDU / 'Nitro-30'), not triazone — the two labels disagree. Verify per batch</t>
  </si>
  <si>
    <t xml:space="preserve">8–12 weeks (per this label)</t>
  </si>
  <si>
    <t xml:space="preserve">Tees &amp; greens 7–9 oz/1,000 ft² every 7–14 days</t>
  </si>
  <si>
    <t xml:space="preserve">https://www.domyown.com/msds/The_Classic_18-3-6_Label.pdf</t>
  </si>
  <si>
    <t xml:space="preserve">Pro-Balance 15-0-15</t>
  </si>
  <si>
    <t xml:space="preserve">15-0-15. N: 7.5% urea + 7.5% slowly available. Chelated Cu 0.05, Fe 0.10, Mn 0.05, Zn 0.05</t>
  </si>
  <si>
    <t xml:space="preserve">Methylene urea in solution; microbial/hydrolytic breakdown</t>
  </si>
  <si>
    <t xml:space="preserve">Programme-based: 1/8–1/2 lb N per 1,000 ft² every 7–30 days</t>
  </si>
  <si>
    <t xml:space="preserve">Tees &amp; greens ≈22–32 L/ha every 7–14 days</t>
  </si>
  <si>
    <t xml:space="preserve">X-Xtra Iron 6-0-0</t>
  </si>
  <si>
    <t xml:space="preserve">6-0-0. S 4%, Fe 6% water-soluble, citric acid chelated</t>
  </si>
  <si>
    <t xml:space="preserve">0%</t>
  </si>
  <si>
    <t xml:space="preserve">None — straight urea</t>
  </si>
  <si>
    <t xml:space="preserve">Bentgrass greens ≈6.4 L/ha; fairways ≈12.7 L/ha</t>
  </si>
  <si>
    <t xml:space="preserve">Micrel Total 5-0-0</t>
  </si>
  <si>
    <t xml:space="preserve">5-0-0. Mg 0.5, S 4, B 0.02, Cu 0.5, Fe 6, Mn 0.5, Zn 0.5 — 100% citric-acid chelated</t>
  </si>
  <si>
    <t xml:space="preserve">None — urea N</t>
  </si>
  <si>
    <t xml:space="preserve">≈9–12 L/ha every 14–21 days (greens/tees); every 30 days on fairways</t>
  </si>
  <si>
    <t xml:space="preserve">Cal-Mag Max 7-0-3</t>
  </si>
  <si>
    <t xml:space="preserve">7-0-3. N 100% NITRATE. Ca 4% and Mg 2% complexed with glucoheptonate</t>
  </si>
  <si>
    <t xml:space="preserve">None — nitrate is immediately available</t>
  </si>
  <si>
    <t xml:space="preserve">≈3.2–9.5 L/ha as needed, soil-test led</t>
  </si>
  <si>
    <t xml:space="preserve">https://www.douglasplanthealth.com/wp-content/uploads/2023/03/CAL-MAG-MAX-7-0-3.pdf</t>
  </si>
  <si>
    <t xml:space="preserve">Liquid Potassium 0-0-25</t>
  </si>
  <si>
    <t xml:space="preserve">0-0-25 from potassium carbonate — non-chloride, 100% soluble</t>
  </si>
  <si>
    <t xml:space="preserve">≈4–12 L/ha every 7–21 days</t>
  </si>
  <si>
    <t xml:space="preserve">TKO Phosphite 0-29-26</t>
  </si>
  <si>
    <t xml:space="preserve">0-29-26 from mono- and di-potassium salts of phosphorous acid. Near-neutral pH, low salt index</t>
  </si>
  <si>
    <t xml:space="preserve">n/a — no N</t>
  </si>
  <si>
    <t xml:space="preserve">Phosphite chemistry, not nutrient release. Systemic defence elicitation</t>
  </si>
  <si>
    <t xml:space="preserve">≈6.4–12.7 L/ha, foliar / soil / irrigation</t>
  </si>
  <si>
    <t xml:space="preserve">Essential Plus 1-0-1</t>
  </si>
  <si>
    <t xml:space="preserve">1-0-1. Humic acid 7% (Leonardite), L-amino acids 4.45%, kelp 0.1%, Fe 0.29% (metric label). US label declares different figures</t>
  </si>
  <si>
    <t xml:space="preserve">0% (organic N from fish hydrolysate)</t>
  </si>
  <si>
    <t xml:space="preserve">Biostimulant — not a release technology</t>
  </si>
  <si>
    <t xml:space="preserve">Greens &amp; tees ≈8.8 L/ha every 14 days; fairways ≈11.8 L/ha monthly</t>
  </si>
  <si>
    <t xml:space="preserve">10 / 110 / 200 / 1000 L</t>
  </si>
  <si>
    <t xml:space="preserve">Companion Liquid Biological Fungicide 2-3-2</t>
  </si>
  <si>
    <t xml:space="preserve">2-3-2. Bacillus subtilis GB03 at 0.03%, ≥5.5 × 10¹⁰ CFU/gal. US EPA Reg. 71065-3</t>
  </si>
  <si>
    <t xml:space="preserve">Live biological — rhizosphere colonisation, competition and antibiosis</t>
  </si>
  <si>
    <t xml:space="preserve">≈12.7–19.1 L/ha</t>
  </si>
  <si>
    <t xml:space="preserve">1 / 2.5 / 5 gal (US); 10 L (NZ)</t>
  </si>
  <si>
    <t xml:space="preserve">Hydro-Max</t>
  </si>
  <si>
    <t xml:space="preserve">No guaranteed NPK. Yucca schidigera extract 27%, humic acid 2%</t>
  </si>
  <si>
    <t xml:space="preserve">Soil surfactant / penetrant — not a fertiliser</t>
  </si>
  <si>
    <t xml:space="preserve">Standard turf ≈9 L/ha every 14–21 days; hydrophobic soils ≈35 L/ha initial</t>
  </si>
  <si>
    <t xml:space="preserve">https://www.douglasplanthealth.com/wp-content/uploads/2023/03/Hydro-Max_GP_Label-4.pdf</t>
  </si>
  <si>
    <t xml:space="preserve">Starter Plus Bloomtastic 8-32-5</t>
  </si>
  <si>
    <t xml:space="preserve">8-32-5 high-phosphate establishment liquid</t>
  </si>
  <si>
    <t xml:space="preserve">Conventional soluble phosphate</t>
  </si>
  <si>
    <t xml:space="preserve">Other GP liquids in the label index</t>
  </si>
  <si>
    <t xml:space="preserve">Arbor Care 15-8-4 · Magnesium 3% · Manganese 5% · Micrel K · MicroTech CT 4-0-0 · Nitro-22 + Sulfur 22-0-0 · pH Reducer · Quick Response 20-3-3</t>
  </si>
  <si>
    <t xml:space="preserve">varies</t>
  </si>
  <si>
    <t xml:space="preserve">Verify these before anything here goes into a quote, tender or comparison</t>
  </si>
  <si>
    <t xml:space="preserve">Issue</t>
  </si>
  <si>
    <t xml:space="preserve">What the problem is</t>
  </si>
  <si>
    <t xml:space="preserve">What to do about it</t>
  </si>
  <si>
    <t xml:space="preserve">Catalogue completeness</t>
  </si>
  <si>
    <t xml:space="preserve">Prebbles' site (turfworld.co.nz / prebbleturf.co.nz) blocks automated retrieval with HTTP 403 and runs no shopping cart. This list was assembled from search-indexed product URLs, so it is a strong sample, not a guaranteed-complete catalogue.</t>
  </si>
  <si>
    <t xml:space="preserve">Ask Prebbles for their current price list / product schedule (0800 28 00 28). That is the only authoritative complete list.</t>
  </si>
  <si>
    <t xml:space="preserve">Two site URL schemes</t>
  </si>
  <si>
    <t xml:space="preserve">An older /product/&lt;id&gt;-&lt;slug&gt; catalogue and a newer /products/fertiliser/&lt;category&gt;/&lt;slug&gt; catalogue both exist. Only three new-scheme URLs surfaced in search. The newer catalogue is likely larger.</t>
  </si>
  <si>
    <t xml:space="preserve">Browse the new-scheme catalogue directly, or request the schedule.</t>
  </si>
  <si>
    <t xml:space="preserve">Elemental vs oxide</t>
  </si>
  <si>
    <t xml:space="preserve">Prebbles list P and K in ELEMENTAL form (NZ/AU convention). US and UK manufacturer labels use OXIDE (P2O5, K2O). Every match in this workbook was verified by converting.</t>
  </si>
  <si>
    <t xml:space="preserve">Never compare an NZ analysis against a US label without converting: P2O5 = P ÷ 0.4364, K2O = K ÷ 0.8301. Columns I and J do this for you.</t>
  </si>
  <si>
    <t xml:space="preserve">Pro Balance 15-0-12</t>
  </si>
  <si>
    <t xml:space="preserve">Growth Products publishes Pro-Balance 15-0-15 (oxide). The NZ listing reads 15-0-12 elemental = 15-0-14.5 oxide. Close, but not an exact match.</t>
  </si>
  <si>
    <t xml:space="preserve">Request the NZ label before quoting the 50% SRN / methylene urea figures as the NZ product.</t>
  </si>
  <si>
    <t xml:space="preserve">ProScape 25-0-5 SRN</t>
  </si>
  <si>
    <t xml:space="preserve">LebanonTurf's own product page says 29% SRN; the registered label says 6.2% slowly-available of 25% total = 24.8%.</t>
  </si>
  <si>
    <t xml:space="preserve">Use the label figure (24.8%).</t>
  </si>
  <si>
    <t xml:space="preserve">Country Club 34-0-0 SRN</t>
  </si>
  <si>
    <t xml:space="preserve">Product page renders SRN as 100%, which is the '100% MESA' N-source figure mis-populating the SRN field. Label says 23.5% slowly available of 34% = 69.1%.</t>
  </si>
  <si>
    <t xml:space="preserve">Use 69.1%.</t>
  </si>
  <si>
    <t xml:space="preserve">CC MD 22-0-16 SRN</t>
  </si>
  <si>
    <t xml:space="preserve">Published SRN of 80% exceeds its 64% Meth-Ex fraction — internally inconsistent with every other grade in the range.</t>
  </si>
  <si>
    <t xml:space="preserve">Verify against the registered label before quoting.</t>
  </si>
  <si>
    <t xml:space="preserve">'% MESA' is not '% SRN'</t>
  </si>
  <si>
    <t xml:space="preserve">A product named '51% MESA' means 51% of its NITROGEN comes from MESA particles. The SRN figure is slowly-available N divided by total N, and it is always the lower number.</t>
  </si>
  <si>
    <t xml:space="preserve">Do not use the name as the slow-release claim.</t>
  </si>
  <si>
    <t xml:space="preserve">Longevity is largely unpublished</t>
  </si>
  <si>
    <t xml:space="preserve">The only durations either manufacturer publishes are MESA's 'up to 12 weeks' and ICL's per-grade figures. Meth-Ex, U-Form, EXPO and MESA-XP have NO published duration in weeks.</t>
  </si>
  <si>
    <t xml:space="preserve">Where this workbook says 'not published', that is the manufacturer's position, not a gap in the research.</t>
  </si>
  <si>
    <t xml:space="preserve">No stated temperature basis</t>
  </si>
  <si>
    <t xml:space="preserve">ICL qualifies every longevity figure with '*depending on environmental factors' and publishes no reference temperature. The single qualitative statement anywhere is 'releases nutrients for 6–8 weeks in cooler weather' (Sierraform GT All Season).</t>
  </si>
  <si>
    <t xml:space="preserve">Treat all longevity figures as indicative for a temperate northern-hemisphere season. NZ/AU summer soil temperatures will shorten every microbially-driven product (MESA, Meth-Ex, MU2) noticeably.</t>
  </si>
  <si>
    <t xml:space="preserve">Sulphur is missing from spec tables</t>
  </si>
  <si>
    <t xml:space="preserve">LebanonTurf product pages routinely omit S entirely. The registered label is the only reliable source — and it matters: MESA grades run 5–12% S, and CC MD 16-0-8 runs 20% S.</t>
  </si>
  <si>
    <t xml:space="preserve">Pull lebanonturf.com/labels/{item}.pdf for any grade where S matters.</t>
  </si>
  <si>
    <t xml:space="preserve">'Companion' name collision</t>
  </si>
  <si>
    <t xml:space="preserve">Growth Products' Companion is a Bacillus subtilis GB03 biological fungicide. Agrion Crop Solutions NZ sells an unrelated spray adjuvant also called Companion.</t>
  </si>
  <si>
    <t xml:space="preserve">Confirm which product Prebbles lists, and its NZ ACVM registration status, before making any disease claim.</t>
  </si>
  <si>
    <t xml:space="preserve">Chloride vs sulphate K</t>
  </si>
  <si>
    <t xml:space="preserve">ProScape grades and Country Club 29-0-10 use MURIATE of potash (chloride). All Country Club MD, Country Club IV and the EXPO / MESA-XP grades use SULPHATE of potash.</t>
  </si>
  <si>
    <t xml:space="preserve">Matters on greens, on salt-affected sites and under effluent irrigation.</t>
  </si>
  <si>
    <t xml:space="preserve">LebPro 40 PCU is the odd one out</t>
  </si>
  <si>
    <t xml:space="preserve">LebanonTurf's mainstream chemistry is deliberately coating-free (MESA, Meth-Ex, U-Form). LebPro 40 PCU is polymer-coated urea and behaves quite differently — temperature-driven, and vulnerable to coating damage.</t>
  </si>
  <si>
    <t xml:space="preserve">Do not generalise 'Lebanon = uncoated' across their whole range.</t>
  </si>
  <si>
    <t xml:space="preserve">Prebbles house brands</t>
  </si>
  <si>
    <t xml:space="preserve">EzySpread, EzyReno, EzyFoliar, Reno Boost, Sports Fert NO3 and Ammos publish no analysis beyond the NPK in the product name.</t>
  </si>
  <si>
    <t xml:space="preserve">Request NZ labels. Roughly a third of the listed range has no published technical data at all.</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</si>
</sst>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i val="true"/>
      <sz val="10"/>
      <color rgb="FF555555"/>
      <name val="Arial"/>
      <family val="0"/>
      <charset val="1"/>
    </font>
    <font>
      <b val="true"/>
      <sz val="12"/>
      <color rgb="FF1F4E3D"/>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1F4E3D"/>
      <name val="Arial"/>
      <family val="0"/>
      <charset val="1"/>
    </font>
  </fonts>
  <fills count="6">
    <fill>
      <patternFill patternType="none"/>
    </fill>
    <fill>
      <patternFill patternType="gray125"/>
    </fill>
    <fill>
      <patternFill patternType="solid">
        <fgColor rgb="FF1F4E3D"/>
        <bgColor rgb="FF003366"/>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8"/>
  </cols>
  <sheetData>
    <row r="2" customFormat="false" ht="19.7" hidden="false" customHeight="false" outlineLevel="0" collapsed="false">
      <c r="B2" s="1" t="s">
        <v>0</v>
      </c>
      <c r="C2" s="1"/>
    </row>
    <row r="3" customFormat="false" ht="15" hidden="false" customHeight="false" outlineLevel="0" collapsed="false">
      <c r="B3" s="2" t="s">
        <v>1</v>
      </c>
      <c r="C3" s="2"/>
    </row>
    <row r="5" customFormat="false" ht="15" hidden="false" customHeight="false" outlineLevel="0" collapsed="false">
      <c r="B5" s="3" t="s">
        <v>2</v>
      </c>
    </row>
    <row r="6" customFormat="false" ht="39" hidden="false" customHeight="true" outlineLevel="0" collapsed="false">
      <c r="B6" s="4" t="s">
        <v>3</v>
      </c>
      <c r="C6" s="5" t="s">
        <v>4</v>
      </c>
    </row>
    <row r="7" customFormat="false" ht="51.75" hidden="false" customHeight="true" outlineLevel="0" collapsed="false">
      <c r="B7" s="4" t="s">
        <v>5</v>
      </c>
      <c r="C7" s="5" t="s">
        <v>6</v>
      </c>
    </row>
    <row r="9" customFormat="false" ht="15" hidden="false" customHeight="false" outlineLevel="0" collapsed="false">
      <c r="B9" s="3" t="s">
        <v>7</v>
      </c>
    </row>
    <row r="10" customFormat="false" ht="39" hidden="false" customHeight="true" outlineLevel="0" collapsed="false">
      <c r="B10" s="4" t="s">
        <v>8</v>
      </c>
      <c r="C10" s="5" t="s">
        <v>9</v>
      </c>
    </row>
    <row r="11" customFormat="false" ht="25.5" hidden="false" customHeight="true" outlineLevel="0" collapsed="false">
      <c r="B11" s="4" t="s">
        <v>10</v>
      </c>
      <c r="C11" s="5" t="s">
        <v>11</v>
      </c>
    </row>
    <row r="12" customFormat="false" ht="39" hidden="false" customHeight="true" outlineLevel="0" collapsed="false">
      <c r="B12" s="4" t="s">
        <v>12</v>
      </c>
      <c r="C12" s="5" t="s">
        <v>13</v>
      </c>
    </row>
    <row r="13" customFormat="false" ht="51.75" hidden="false" customHeight="true" outlineLevel="0" collapsed="false">
      <c r="B13" s="4" t="s">
        <v>14</v>
      </c>
      <c r="C13" s="5" t="s">
        <v>15</v>
      </c>
    </row>
    <row r="15" customFormat="false" ht="15" hidden="false" customHeight="false" outlineLevel="0" collapsed="false">
      <c r="B15" s="3" t="s">
        <v>16</v>
      </c>
    </row>
    <row r="16" customFormat="false" ht="25.5" hidden="false" customHeight="true" outlineLevel="0" collapsed="false">
      <c r="B16" s="4" t="s">
        <v>17</v>
      </c>
      <c r="C16" s="5" t="s">
        <v>18</v>
      </c>
    </row>
    <row r="17" customFormat="false" ht="25.5" hidden="false" customHeight="true" outlineLevel="0" collapsed="false">
      <c r="B17" s="4" t="s">
        <v>19</v>
      </c>
      <c r="C17" s="5" t="s">
        <v>20</v>
      </c>
    </row>
    <row r="18" customFormat="false" ht="25.5" hidden="false" customHeight="true" outlineLevel="0" collapsed="false">
      <c r="B18" s="4" t="s">
        <v>21</v>
      </c>
      <c r="C18" s="5" t="s">
        <v>22</v>
      </c>
    </row>
    <row r="19" customFormat="false" ht="25.5" hidden="false" customHeight="true" outlineLevel="0" collapsed="false">
      <c r="B19" s="4" t="s">
        <v>23</v>
      </c>
      <c r="C19" s="5" t="s">
        <v>24</v>
      </c>
    </row>
    <row r="21" customFormat="false" ht="15" hidden="false" customHeight="false" outlineLevel="0" collapsed="false">
      <c r="B21" s="3" t="s">
        <v>25</v>
      </c>
    </row>
    <row r="22" customFormat="false" ht="39" hidden="false" customHeight="true" outlineLevel="0" collapsed="false">
      <c r="B22" s="4" t="s">
        <v>26</v>
      </c>
      <c r="C22" s="5" t="s">
        <v>27</v>
      </c>
    </row>
    <row r="23" customFormat="false" ht="51.75" hidden="false" customHeight="true" outlineLevel="0" collapsed="false">
      <c r="B23" s="4" t="s">
        <v>28</v>
      </c>
      <c r="C23" s="5" t="s">
        <v>29</v>
      </c>
    </row>
    <row r="25" customFormat="false" ht="15" hidden="false" customHeight="false" outlineLevel="0" collapsed="false">
      <c r="B25" s="6" t="s">
        <v>30</v>
      </c>
      <c r="C25" s="7" t="n">
        <f aca="false">COUNTA('Prebbles range'!C2:C45)</f>
        <v>44</v>
      </c>
    </row>
    <row r="26" customFormat="false" ht="15" hidden="false" customHeight="false" outlineLevel="0" collapsed="false">
      <c r="B26" s="6" t="s">
        <v>31</v>
      </c>
      <c r="C26" s="7" t="n">
        <f aca="false">COUNTIF('Prebbles range'!S2:S45,"Confirmed*")</f>
        <v>20</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40"/>
    <col collapsed="false" customWidth="true" hidden="false" outlineLevel="0" max="4" min="4" style="0" width="20"/>
    <col collapsed="false" customWidth="true" hidden="false" outlineLevel="0" max="5" min="5" style="0" width="22"/>
    <col collapsed="false" customWidth="true" hidden="false" outlineLevel="0" max="6" min="6" style="0" width="7"/>
    <col collapsed="false" customWidth="true" hidden="false" outlineLevel="0" max="8" min="7" style="0" width="9"/>
    <col collapsed="false" customWidth="true" hidden="false" outlineLevel="0" max="10" min="9" style="0" width="10"/>
    <col collapsed="false" customWidth="true" hidden="false" outlineLevel="0" max="11" min="11" style="0" width="46"/>
    <col collapsed="false" customWidth="true" hidden="false" outlineLevel="0" max="12" min="12" style="0" width="16"/>
    <col collapsed="false" customWidth="true" hidden="false" outlineLevel="0" max="13" min="13" style="0" width="34"/>
    <col collapsed="false" customWidth="true" hidden="false" outlineLevel="0" max="14" min="14" style="0" width="26"/>
    <col collapsed="false" customWidth="true" hidden="false" outlineLevel="0" max="15" min="15" style="0" width="62"/>
    <col collapsed="false" customWidth="true" hidden="false" outlineLevel="0" max="16" min="16" style="0" width="30"/>
    <col collapsed="false" customWidth="true" hidden="false" outlineLevel="0" max="17" min="17" style="0" width="40"/>
    <col collapsed="false" customWidth="true" hidden="false" outlineLevel="0" max="18" min="18" style="0" width="26"/>
    <col collapsed="false" customWidth="true" hidden="false" outlineLevel="0" max="19" min="19" style="0" width="40"/>
    <col collapsed="false" customWidth="true" hidden="false" outlineLevel="0" max="21" min="20" style="0" width="46"/>
  </cols>
  <sheetData>
    <row r="1" customFormat="false" ht="31.5" hidden="false" customHeight="true" outlineLevel="0" collapsed="false">
      <c r="A1" s="8" t="s">
        <v>32</v>
      </c>
      <c r="B1" s="8" t="s">
        <v>33</v>
      </c>
      <c r="C1" s="8" t="s">
        <v>34</v>
      </c>
      <c r="D1" s="8" t="s">
        <v>35</v>
      </c>
      <c r="E1" s="8" t="s">
        <v>36</v>
      </c>
      <c r="F1" s="8" t="s">
        <v>37</v>
      </c>
      <c r="G1" s="8" t="s">
        <v>38</v>
      </c>
      <c r="H1" s="8" t="s">
        <v>39</v>
      </c>
      <c r="I1" s="8" t="s">
        <v>40</v>
      </c>
      <c r="J1" s="8" t="s">
        <v>41</v>
      </c>
      <c r="K1" s="8" t="s">
        <v>42</v>
      </c>
      <c r="L1" s="8" t="s">
        <v>43</v>
      </c>
      <c r="M1" s="8" t="s">
        <v>44</v>
      </c>
      <c r="N1" s="8" t="s">
        <v>45</v>
      </c>
      <c r="O1" s="8" t="s">
        <v>46</v>
      </c>
      <c r="P1" s="8" t="s">
        <v>47</v>
      </c>
      <c r="Q1" s="8" t="s">
        <v>48</v>
      </c>
      <c r="R1" s="8" t="s">
        <v>49</v>
      </c>
      <c r="S1" s="8" t="s">
        <v>50</v>
      </c>
      <c r="T1" s="8" t="s">
        <v>51</v>
      </c>
      <c r="U1" s="8" t="s">
        <v>52</v>
      </c>
    </row>
    <row r="2" customFormat="false" ht="96" hidden="false" customHeight="true" outlineLevel="0" collapsed="false">
      <c r="A2" s="9" t="s">
        <v>53</v>
      </c>
      <c r="B2" s="9" t="s">
        <v>54</v>
      </c>
      <c r="C2" s="9" t="s">
        <v>55</v>
      </c>
      <c r="D2" s="9" t="s">
        <v>56</v>
      </c>
      <c r="E2" s="9" t="s">
        <v>57</v>
      </c>
      <c r="F2" s="10" t="n">
        <v>24</v>
      </c>
      <c r="G2" s="10" t="n">
        <v>2.2</v>
      </c>
      <c r="H2" s="10" t="n">
        <v>8.3</v>
      </c>
      <c r="I2" s="11" t="n">
        <f aca="false">IF(G2="","",G2/0.4364)</f>
        <v>5.04124656278643</v>
      </c>
      <c r="J2" s="11" t="n">
        <f aca="false">IF(H2="","",H2/0.8301)</f>
        <v>9.99879532586436</v>
      </c>
      <c r="K2" s="9" t="s">
        <v>58</v>
      </c>
      <c r="L2" s="9" t="s">
        <v>59</v>
      </c>
      <c r="M2" s="9" t="s">
        <v>60</v>
      </c>
      <c r="N2" s="9" t="s">
        <v>61</v>
      </c>
      <c r="O2" s="9" t="s">
        <v>62</v>
      </c>
      <c r="P2" s="9" t="s">
        <v>63</v>
      </c>
      <c r="Q2" s="9" t="s">
        <v>64</v>
      </c>
      <c r="R2" s="9" t="s">
        <v>65</v>
      </c>
      <c r="S2" s="12" t="s">
        <v>66</v>
      </c>
      <c r="T2" s="9" t="s">
        <v>67</v>
      </c>
      <c r="U2" s="9" t="s">
        <v>68</v>
      </c>
    </row>
    <row r="3" customFormat="false" ht="96" hidden="false" customHeight="true" outlineLevel="0" collapsed="false">
      <c r="A3" s="9" t="s">
        <v>69</v>
      </c>
      <c r="B3" s="9" t="s">
        <v>54</v>
      </c>
      <c r="C3" s="9" t="s">
        <v>70</v>
      </c>
      <c r="D3" s="9" t="s">
        <v>56</v>
      </c>
      <c r="E3" s="9" t="s">
        <v>57</v>
      </c>
      <c r="F3" s="10" t="n">
        <v>25</v>
      </c>
      <c r="G3" s="10" t="n">
        <v>1</v>
      </c>
      <c r="H3" s="10" t="n">
        <v>8</v>
      </c>
      <c r="I3" s="11" t="n">
        <f aca="false">IF(G3="","",G3/0.4364)</f>
        <v>2.29147571035747</v>
      </c>
      <c r="J3" s="11" t="n">
        <f aca="false">IF(H3="","",H3/0.8301)</f>
        <v>9.63739308517046</v>
      </c>
      <c r="K3" s="9" t="s">
        <v>71</v>
      </c>
      <c r="L3" s="9" t="s">
        <v>72</v>
      </c>
      <c r="M3" s="9" t="s">
        <v>73</v>
      </c>
      <c r="N3" s="9" t="s">
        <v>74</v>
      </c>
      <c r="O3" s="9" t="s">
        <v>75</v>
      </c>
      <c r="P3" s="9" t="s">
        <v>76</v>
      </c>
      <c r="Q3" s="9" t="s">
        <v>72</v>
      </c>
      <c r="R3" s="9" t="s">
        <v>77</v>
      </c>
      <c r="S3" s="9" t="s">
        <v>78</v>
      </c>
      <c r="T3" s="9" t="s">
        <v>79</v>
      </c>
      <c r="U3" s="9" t="s">
        <v>80</v>
      </c>
    </row>
    <row r="4" customFormat="false" ht="96" hidden="false" customHeight="true" outlineLevel="0" collapsed="false">
      <c r="A4" s="9" t="s">
        <v>81</v>
      </c>
      <c r="B4" s="9" t="s">
        <v>54</v>
      </c>
      <c r="C4" s="9" t="s">
        <v>82</v>
      </c>
      <c r="D4" s="9" t="s">
        <v>56</v>
      </c>
      <c r="E4" s="9" t="s">
        <v>57</v>
      </c>
      <c r="F4" s="10" t="n">
        <v>16</v>
      </c>
      <c r="G4" s="10" t="n">
        <v>10.9</v>
      </c>
      <c r="H4" s="10" t="n">
        <v>10</v>
      </c>
      <c r="I4" s="11" t="n">
        <f aca="false">IF(G4="","",G4/0.4364)</f>
        <v>24.9770852428964</v>
      </c>
      <c r="J4" s="11" t="n">
        <f aca="false">IF(H4="","",H4/0.8301)</f>
        <v>12.0467413564631</v>
      </c>
      <c r="K4" s="9" t="s">
        <v>83</v>
      </c>
      <c r="L4" s="9" t="s">
        <v>84</v>
      </c>
      <c r="M4" s="9" t="s">
        <v>85</v>
      </c>
      <c r="N4" s="9" t="s">
        <v>86</v>
      </c>
      <c r="O4" s="9" t="s">
        <v>87</v>
      </c>
      <c r="P4" s="9" t="s">
        <v>88</v>
      </c>
      <c r="Q4" s="9" t="s">
        <v>89</v>
      </c>
      <c r="R4" s="9" t="s">
        <v>90</v>
      </c>
      <c r="S4" s="12" t="s">
        <v>91</v>
      </c>
      <c r="T4" s="9" t="s">
        <v>92</v>
      </c>
      <c r="U4" s="9" t="s">
        <v>93</v>
      </c>
    </row>
    <row r="5" customFormat="false" ht="96" hidden="false" customHeight="true" outlineLevel="0" collapsed="false">
      <c r="A5" s="9" t="s">
        <v>94</v>
      </c>
      <c r="B5" s="9" t="s">
        <v>95</v>
      </c>
      <c r="C5" s="9" t="s">
        <v>96</v>
      </c>
      <c r="D5" s="9" t="s">
        <v>97</v>
      </c>
      <c r="E5" s="9" t="s">
        <v>57</v>
      </c>
      <c r="F5" s="10" t="n">
        <v>22</v>
      </c>
      <c r="G5" s="10" t="n">
        <v>2.2</v>
      </c>
      <c r="H5" s="10" t="n">
        <v>9.1</v>
      </c>
      <c r="I5" s="11" t="n">
        <f aca="false">IF(G5="","",G5/0.4364)</f>
        <v>5.04124656278643</v>
      </c>
      <c r="J5" s="11" t="n">
        <f aca="false">IF(H5="","",H5/0.8301)</f>
        <v>10.9625346343814</v>
      </c>
      <c r="K5" s="9" t="s">
        <v>98</v>
      </c>
      <c r="L5" s="9" t="s">
        <v>99</v>
      </c>
      <c r="M5" s="9" t="s">
        <v>100</v>
      </c>
      <c r="N5" s="9" t="s">
        <v>101</v>
      </c>
      <c r="O5" s="9" t="s">
        <v>102</v>
      </c>
      <c r="P5" s="9" t="s">
        <v>103</v>
      </c>
      <c r="Q5" s="9" t="s">
        <v>104</v>
      </c>
      <c r="R5" s="9" t="s">
        <v>105</v>
      </c>
      <c r="S5" s="12" t="s">
        <v>106</v>
      </c>
      <c r="T5" s="9" t="s">
        <v>107</v>
      </c>
      <c r="U5" s="9" t="s">
        <v>108</v>
      </c>
    </row>
    <row r="6" customFormat="false" ht="96" hidden="false" customHeight="true" outlineLevel="0" collapsed="false">
      <c r="A6" s="9" t="s">
        <v>109</v>
      </c>
      <c r="B6" s="9" t="s">
        <v>95</v>
      </c>
      <c r="C6" s="9" t="s">
        <v>110</v>
      </c>
      <c r="D6" s="9" t="s">
        <v>97</v>
      </c>
      <c r="E6" s="9" t="s">
        <v>57</v>
      </c>
      <c r="F6" s="10" t="n">
        <v>15</v>
      </c>
      <c r="G6" s="10" t="n">
        <v>0</v>
      </c>
      <c r="H6" s="10" t="n">
        <v>21.6</v>
      </c>
      <c r="I6" s="11" t="n">
        <f aca="false">IF(G6="","",G6/0.4364)</f>
        <v>0</v>
      </c>
      <c r="J6" s="11" t="n">
        <f aca="false">IF(H6="","",H6/0.8301)</f>
        <v>26.0209613299602</v>
      </c>
      <c r="K6" s="9" t="s">
        <v>111</v>
      </c>
      <c r="L6" s="9" t="s">
        <v>99</v>
      </c>
      <c r="M6" s="9" t="s">
        <v>112</v>
      </c>
      <c r="N6" s="9" t="s">
        <v>113</v>
      </c>
      <c r="O6" s="9" t="s">
        <v>114</v>
      </c>
      <c r="P6" s="9" t="s">
        <v>115</v>
      </c>
      <c r="Q6" s="9" t="s">
        <v>116</v>
      </c>
      <c r="R6" s="9" t="s">
        <v>117</v>
      </c>
      <c r="S6" s="12" t="s">
        <v>118</v>
      </c>
      <c r="T6" s="9" t="s">
        <v>119</v>
      </c>
      <c r="U6" s="9" t="s">
        <v>120</v>
      </c>
    </row>
    <row r="7" customFormat="false" ht="96" hidden="false" customHeight="true" outlineLevel="0" collapsed="false">
      <c r="A7" s="9" t="s">
        <v>121</v>
      </c>
      <c r="B7" s="9" t="s">
        <v>122</v>
      </c>
      <c r="C7" s="9" t="s">
        <v>123</v>
      </c>
      <c r="D7" s="9" t="s">
        <v>124</v>
      </c>
      <c r="E7" s="9" t="s">
        <v>125</v>
      </c>
      <c r="F7" s="10" t="n">
        <v>25</v>
      </c>
      <c r="G7" s="10" t="n">
        <v>0</v>
      </c>
      <c r="H7" s="10" t="n">
        <v>4.2</v>
      </c>
      <c r="I7" s="11" t="n">
        <f aca="false">IF(G7="","",G7/0.4364)</f>
        <v>0</v>
      </c>
      <c r="J7" s="11" t="n">
        <f aca="false">IF(H7="","",H7/0.8301)</f>
        <v>5.05963136971449</v>
      </c>
      <c r="K7" s="9" t="s">
        <v>126</v>
      </c>
      <c r="L7" s="9" t="s">
        <v>127</v>
      </c>
      <c r="M7" s="9" t="s">
        <v>128</v>
      </c>
      <c r="N7" s="9" t="s">
        <v>129</v>
      </c>
      <c r="O7" s="9" t="s">
        <v>130</v>
      </c>
      <c r="P7" s="9" t="s">
        <v>131</v>
      </c>
      <c r="Q7" s="9" t="s">
        <v>132</v>
      </c>
      <c r="R7" s="9" t="s">
        <v>133</v>
      </c>
      <c r="S7" s="12" t="s">
        <v>134</v>
      </c>
      <c r="T7" s="9" t="s">
        <v>135</v>
      </c>
      <c r="U7" s="9" t="s">
        <v>136</v>
      </c>
    </row>
    <row r="8" customFormat="false" ht="96" hidden="false" customHeight="true" outlineLevel="0" collapsed="false">
      <c r="A8" s="9" t="s">
        <v>137</v>
      </c>
      <c r="B8" s="9" t="s">
        <v>122</v>
      </c>
      <c r="C8" s="9" t="s">
        <v>138</v>
      </c>
      <c r="D8" s="9" t="s">
        <v>139</v>
      </c>
      <c r="E8" s="9" t="s">
        <v>125</v>
      </c>
      <c r="F8" s="10" t="n">
        <v>19</v>
      </c>
      <c r="G8" s="10" t="n">
        <v>0</v>
      </c>
      <c r="H8" s="10" t="n">
        <v>16</v>
      </c>
      <c r="I8" s="11" t="n">
        <f aca="false">IF(G8="","",G8/0.4364)</f>
        <v>0</v>
      </c>
      <c r="J8" s="11" t="n">
        <f aca="false">IF(H8="","",H8/0.8301)</f>
        <v>19.2747861703409</v>
      </c>
      <c r="K8" s="9" t="s">
        <v>140</v>
      </c>
      <c r="L8" s="9" t="s">
        <v>127</v>
      </c>
      <c r="M8" s="9" t="s">
        <v>141</v>
      </c>
      <c r="N8" s="9" t="s">
        <v>142</v>
      </c>
      <c r="O8" s="9" t="s">
        <v>143</v>
      </c>
      <c r="P8" s="9" t="s">
        <v>144</v>
      </c>
      <c r="Q8" s="9" t="s">
        <v>145</v>
      </c>
      <c r="R8" s="9" t="s">
        <v>146</v>
      </c>
      <c r="S8" s="12" t="s">
        <v>147</v>
      </c>
      <c r="T8" s="9" t="s">
        <v>148</v>
      </c>
      <c r="U8" s="9" t="s">
        <v>149</v>
      </c>
    </row>
    <row r="9" customFormat="false" ht="96" hidden="false" customHeight="true" outlineLevel="0" collapsed="false">
      <c r="A9" s="9" t="s">
        <v>150</v>
      </c>
      <c r="B9" s="9" t="s">
        <v>122</v>
      </c>
      <c r="C9" s="9" t="s">
        <v>151</v>
      </c>
      <c r="D9" s="9" t="s">
        <v>139</v>
      </c>
      <c r="E9" s="9" t="s">
        <v>125</v>
      </c>
      <c r="F9" s="10" t="n">
        <v>24</v>
      </c>
      <c r="G9" s="10" t="n">
        <v>0</v>
      </c>
      <c r="H9" s="10" t="n">
        <v>10</v>
      </c>
      <c r="I9" s="11" t="n">
        <f aca="false">IF(G9="","",G9/0.4364)</f>
        <v>0</v>
      </c>
      <c r="J9" s="11" t="n">
        <f aca="false">IF(H9="","",H9/0.8301)</f>
        <v>12.0467413564631</v>
      </c>
      <c r="K9" s="9" t="s">
        <v>152</v>
      </c>
      <c r="L9" s="9" t="s">
        <v>127</v>
      </c>
      <c r="M9" s="9" t="s">
        <v>153</v>
      </c>
      <c r="N9" s="9" t="s">
        <v>154</v>
      </c>
      <c r="O9" s="9" t="s">
        <v>155</v>
      </c>
      <c r="P9" s="9" t="s">
        <v>156</v>
      </c>
      <c r="Q9" s="9" t="s">
        <v>72</v>
      </c>
      <c r="R9" s="9" t="s">
        <v>146</v>
      </c>
      <c r="S9" s="13" t="s">
        <v>157</v>
      </c>
      <c r="T9" s="9" t="s">
        <v>158</v>
      </c>
      <c r="U9" s="9" t="s">
        <v>159</v>
      </c>
    </row>
    <row r="10" customFormat="false" ht="96" hidden="false" customHeight="true" outlineLevel="0" collapsed="false">
      <c r="A10" s="9" t="s">
        <v>160</v>
      </c>
      <c r="B10" s="9" t="s">
        <v>161</v>
      </c>
      <c r="C10" s="9" t="s">
        <v>162</v>
      </c>
      <c r="D10" s="9" t="s">
        <v>139</v>
      </c>
      <c r="E10" s="9" t="s">
        <v>125</v>
      </c>
      <c r="F10" s="10" t="n">
        <v>16</v>
      </c>
      <c r="G10" s="10" t="n">
        <v>1.7</v>
      </c>
      <c r="H10" s="10" t="n">
        <v>6.7</v>
      </c>
      <c r="I10" s="11" t="n">
        <f aca="false">IF(G10="","",G10/0.4364)</f>
        <v>3.8955087076077</v>
      </c>
      <c r="J10" s="11" t="n">
        <f aca="false">IF(H10="","",H10/0.8301)</f>
        <v>8.07131670883026</v>
      </c>
      <c r="K10" s="9" t="s">
        <v>163</v>
      </c>
      <c r="L10" s="9" t="s">
        <v>127</v>
      </c>
      <c r="M10" s="9" t="s">
        <v>164</v>
      </c>
      <c r="N10" s="9" t="s">
        <v>165</v>
      </c>
      <c r="O10" s="9" t="s">
        <v>166</v>
      </c>
      <c r="P10" s="9" t="s">
        <v>167</v>
      </c>
      <c r="Q10" s="9" t="s">
        <v>72</v>
      </c>
      <c r="R10" s="9" t="s">
        <v>168</v>
      </c>
      <c r="S10" s="14" t="s">
        <v>169</v>
      </c>
      <c r="T10" s="9" t="s">
        <v>170</v>
      </c>
      <c r="U10" s="9"/>
    </row>
    <row r="11" customFormat="false" ht="96" hidden="false" customHeight="true" outlineLevel="0" collapsed="false">
      <c r="A11" s="9" t="s">
        <v>171</v>
      </c>
      <c r="B11" s="9" t="s">
        <v>54</v>
      </c>
      <c r="C11" s="9" t="s">
        <v>172</v>
      </c>
      <c r="D11" s="9" t="s">
        <v>173</v>
      </c>
      <c r="E11" s="9" t="s">
        <v>125</v>
      </c>
      <c r="F11" s="10" t="n">
        <v>24</v>
      </c>
      <c r="G11" s="10" t="n">
        <v>0</v>
      </c>
      <c r="H11" s="10" t="n">
        <v>4</v>
      </c>
      <c r="I11" s="11" t="n">
        <f aca="false">IF(G11="","",G11/0.4364)</f>
        <v>0</v>
      </c>
      <c r="J11" s="11" t="n">
        <f aca="false">IF(H11="","",H11/0.8301)</f>
        <v>4.81869654258523</v>
      </c>
      <c r="K11" s="9" t="s">
        <v>174</v>
      </c>
      <c r="L11" s="9" t="s">
        <v>175</v>
      </c>
      <c r="M11" s="9" t="s">
        <v>176</v>
      </c>
      <c r="N11" s="9" t="s">
        <v>177</v>
      </c>
      <c r="O11" s="9" t="s">
        <v>178</v>
      </c>
      <c r="P11" s="9" t="s">
        <v>179</v>
      </c>
      <c r="Q11" s="9" t="s">
        <v>72</v>
      </c>
      <c r="R11" s="9" t="s">
        <v>180</v>
      </c>
      <c r="S11" s="9" t="s">
        <v>181</v>
      </c>
      <c r="T11" s="9" t="s">
        <v>182</v>
      </c>
      <c r="U11" s="9"/>
    </row>
    <row r="12" customFormat="false" ht="96" hidden="false" customHeight="true" outlineLevel="0" collapsed="false">
      <c r="A12" s="9" t="s">
        <v>183</v>
      </c>
      <c r="B12" s="9" t="s">
        <v>184</v>
      </c>
      <c r="C12" s="9" t="s">
        <v>185</v>
      </c>
      <c r="D12" s="9" t="s">
        <v>124</v>
      </c>
      <c r="E12" s="9" t="s">
        <v>125</v>
      </c>
      <c r="F12" s="10" t="n">
        <v>16</v>
      </c>
      <c r="G12" s="10" t="n">
        <v>11</v>
      </c>
      <c r="H12" s="10" t="n">
        <v>10</v>
      </c>
      <c r="I12" s="11" t="n">
        <f aca="false">IF(G12="","",G12/0.4364)</f>
        <v>25.2062328139322</v>
      </c>
      <c r="J12" s="11" t="n">
        <f aca="false">IF(H12="","",H12/0.8301)</f>
        <v>12.0467413564631</v>
      </c>
      <c r="K12" s="9" t="s">
        <v>186</v>
      </c>
      <c r="L12" s="9" t="s">
        <v>127</v>
      </c>
      <c r="M12" s="9" t="s">
        <v>72</v>
      </c>
      <c r="N12" s="9" t="s">
        <v>187</v>
      </c>
      <c r="O12" s="9" t="s">
        <v>188</v>
      </c>
      <c r="P12" s="9" t="s">
        <v>72</v>
      </c>
      <c r="Q12" s="9" t="s">
        <v>72</v>
      </c>
      <c r="R12" s="9" t="s">
        <v>189</v>
      </c>
      <c r="S12" s="14" t="s">
        <v>190</v>
      </c>
      <c r="T12" s="9" t="s">
        <v>191</v>
      </c>
      <c r="U12" s="9"/>
    </row>
    <row r="13" customFormat="false" ht="96" hidden="false" customHeight="true" outlineLevel="0" collapsed="false">
      <c r="A13" s="9" t="s">
        <v>192</v>
      </c>
      <c r="B13" s="9" t="s">
        <v>193</v>
      </c>
      <c r="C13" s="9" t="s">
        <v>194</v>
      </c>
      <c r="D13" s="9" t="s">
        <v>124</v>
      </c>
      <c r="E13" s="9" t="s">
        <v>125</v>
      </c>
      <c r="F13" s="10" t="n">
        <v>6</v>
      </c>
      <c r="G13" s="10" t="n">
        <v>0.4</v>
      </c>
      <c r="H13" s="10" t="n">
        <v>9</v>
      </c>
      <c r="I13" s="11" t="n">
        <f aca="false">IF(G13="","",G13/0.4364)</f>
        <v>0.916590284142988</v>
      </c>
      <c r="J13" s="11" t="n">
        <f aca="false">IF(H13="","",H13/0.8301)</f>
        <v>10.8420672208168</v>
      </c>
      <c r="K13" s="9" t="s">
        <v>195</v>
      </c>
      <c r="L13" s="9" t="s">
        <v>175</v>
      </c>
      <c r="M13" s="9" t="s">
        <v>72</v>
      </c>
      <c r="N13" s="9" t="s">
        <v>72</v>
      </c>
      <c r="O13" s="9" t="s">
        <v>196</v>
      </c>
      <c r="P13" s="9" t="s">
        <v>72</v>
      </c>
      <c r="Q13" s="9" t="s">
        <v>72</v>
      </c>
      <c r="R13" s="9" t="s">
        <v>197</v>
      </c>
      <c r="S13" s="14" t="s">
        <v>198</v>
      </c>
      <c r="T13" s="9" t="s">
        <v>199</v>
      </c>
      <c r="U13" s="9"/>
    </row>
    <row r="14" customFormat="false" ht="96" hidden="false" customHeight="true" outlineLevel="0" collapsed="false">
      <c r="A14" s="9" t="s">
        <v>200</v>
      </c>
      <c r="B14" s="9" t="s">
        <v>201</v>
      </c>
      <c r="C14" s="9" t="s">
        <v>202</v>
      </c>
      <c r="D14" s="9" t="s">
        <v>203</v>
      </c>
      <c r="E14" s="9" t="s">
        <v>125</v>
      </c>
      <c r="F14" s="10" t="n">
        <v>12</v>
      </c>
      <c r="G14" s="10" t="n">
        <v>0</v>
      </c>
      <c r="H14" s="10" t="n">
        <v>20</v>
      </c>
      <c r="I14" s="11" t="n">
        <f aca="false">IF(G14="","",G14/0.4364)</f>
        <v>0</v>
      </c>
      <c r="J14" s="11" t="n">
        <f aca="false">IF(H14="","",H14/0.8301)</f>
        <v>24.0934827129262</v>
      </c>
      <c r="K14" s="9" t="s">
        <v>204</v>
      </c>
      <c r="L14" s="9" t="s">
        <v>205</v>
      </c>
      <c r="M14" s="9" t="s">
        <v>206</v>
      </c>
      <c r="N14" s="9" t="s">
        <v>207</v>
      </c>
      <c r="O14" s="9" t="s">
        <v>208</v>
      </c>
      <c r="P14" s="9" t="s">
        <v>209</v>
      </c>
      <c r="Q14" s="9" t="s">
        <v>210</v>
      </c>
      <c r="R14" s="9" t="s">
        <v>211</v>
      </c>
      <c r="S14" s="12" t="s">
        <v>212</v>
      </c>
      <c r="T14" s="9" t="s">
        <v>213</v>
      </c>
      <c r="U14" s="9" t="s">
        <v>214</v>
      </c>
    </row>
    <row r="15" customFormat="false" ht="96" hidden="false" customHeight="true" outlineLevel="0" collapsed="false">
      <c r="A15" s="9" t="s">
        <v>215</v>
      </c>
      <c r="B15" s="9" t="s">
        <v>201</v>
      </c>
      <c r="C15" s="9" t="s">
        <v>216</v>
      </c>
      <c r="D15" s="9" t="s">
        <v>203</v>
      </c>
      <c r="E15" s="9" t="s">
        <v>125</v>
      </c>
      <c r="F15" s="10" t="n">
        <v>22</v>
      </c>
      <c r="G15" s="10" t="n">
        <v>0</v>
      </c>
      <c r="H15" s="10" t="n">
        <v>13</v>
      </c>
      <c r="I15" s="11" t="n">
        <f aca="false">IF(G15="","",G15/0.4364)</f>
        <v>0</v>
      </c>
      <c r="J15" s="11" t="n">
        <f aca="false">IF(H15="","",H15/0.8301)</f>
        <v>15.660763763402</v>
      </c>
      <c r="K15" s="9" t="s">
        <v>217</v>
      </c>
      <c r="L15" s="9" t="s">
        <v>218</v>
      </c>
      <c r="M15" s="9" t="s">
        <v>219</v>
      </c>
      <c r="N15" s="9" t="s">
        <v>220</v>
      </c>
      <c r="O15" s="9" t="s">
        <v>221</v>
      </c>
      <c r="P15" s="9" t="s">
        <v>72</v>
      </c>
      <c r="Q15" s="9" t="s">
        <v>72</v>
      </c>
      <c r="R15" s="9" t="s">
        <v>222</v>
      </c>
      <c r="S15" s="12" t="s">
        <v>223</v>
      </c>
      <c r="T15" s="9" t="s">
        <v>224</v>
      </c>
      <c r="U15" s="9" t="s">
        <v>225</v>
      </c>
    </row>
    <row r="16" customFormat="false" ht="96" hidden="false" customHeight="true" outlineLevel="0" collapsed="false">
      <c r="A16" s="9" t="s">
        <v>226</v>
      </c>
      <c r="B16" s="9" t="s">
        <v>201</v>
      </c>
      <c r="C16" s="9" t="s">
        <v>227</v>
      </c>
      <c r="D16" s="9" t="s">
        <v>203</v>
      </c>
      <c r="E16" s="9" t="s">
        <v>125</v>
      </c>
      <c r="F16" s="10" t="n">
        <v>16</v>
      </c>
      <c r="G16" s="10" t="n">
        <v>0</v>
      </c>
      <c r="H16" s="10" t="n">
        <v>6.7</v>
      </c>
      <c r="I16" s="11" t="n">
        <f aca="false">IF(G16="","",G16/0.4364)</f>
        <v>0</v>
      </c>
      <c r="J16" s="11" t="n">
        <f aca="false">IF(H16="","",H16/0.8301)</f>
        <v>8.07131670883026</v>
      </c>
      <c r="K16" s="9" t="s">
        <v>228</v>
      </c>
      <c r="L16" s="9" t="s">
        <v>229</v>
      </c>
      <c r="M16" s="9" t="s">
        <v>230</v>
      </c>
      <c r="N16" s="9" t="s">
        <v>231</v>
      </c>
      <c r="O16" s="9" t="s">
        <v>232</v>
      </c>
      <c r="P16" s="9" t="s">
        <v>233</v>
      </c>
      <c r="Q16" s="9" t="s">
        <v>234</v>
      </c>
      <c r="R16" s="9" t="s">
        <v>235</v>
      </c>
      <c r="S16" s="12" t="s">
        <v>236</v>
      </c>
      <c r="T16" s="9" t="s">
        <v>237</v>
      </c>
      <c r="U16" s="9" t="s">
        <v>238</v>
      </c>
    </row>
    <row r="17" customFormat="false" ht="96" hidden="false" customHeight="true" outlineLevel="0" collapsed="false">
      <c r="A17" s="9" t="s">
        <v>239</v>
      </c>
      <c r="B17" s="9" t="s">
        <v>201</v>
      </c>
      <c r="C17" s="9" t="s">
        <v>240</v>
      </c>
      <c r="D17" s="9" t="s">
        <v>241</v>
      </c>
      <c r="E17" s="9" t="s">
        <v>125</v>
      </c>
      <c r="F17" s="10" t="n">
        <v>18</v>
      </c>
      <c r="G17" s="10" t="n">
        <v>1.3</v>
      </c>
      <c r="H17" s="10" t="n">
        <v>15</v>
      </c>
      <c r="I17" s="11" t="n">
        <f aca="false">IF(G17="","",G17/0.4364)</f>
        <v>2.97891842346471</v>
      </c>
      <c r="J17" s="11" t="n">
        <f aca="false">IF(H17="","",H17/0.8301)</f>
        <v>18.0701120346946</v>
      </c>
      <c r="K17" s="9" t="s">
        <v>242</v>
      </c>
      <c r="L17" s="9" t="s">
        <v>243</v>
      </c>
      <c r="M17" s="9" t="s">
        <v>244</v>
      </c>
      <c r="N17" s="9" t="s">
        <v>245</v>
      </c>
      <c r="O17" s="9" t="s">
        <v>246</v>
      </c>
      <c r="P17" s="9" t="s">
        <v>72</v>
      </c>
      <c r="Q17" s="9" t="s">
        <v>72</v>
      </c>
      <c r="R17" s="9" t="s">
        <v>247</v>
      </c>
      <c r="S17" s="12" t="s">
        <v>248</v>
      </c>
      <c r="T17" s="9" t="s">
        <v>249</v>
      </c>
      <c r="U17" s="9" t="s">
        <v>250</v>
      </c>
    </row>
    <row r="18" customFormat="false" ht="96" hidden="false" customHeight="true" outlineLevel="0" collapsed="false">
      <c r="A18" s="9" t="s">
        <v>251</v>
      </c>
      <c r="B18" s="9" t="s">
        <v>201</v>
      </c>
      <c r="C18" s="9" t="s">
        <v>252</v>
      </c>
      <c r="D18" s="9" t="s">
        <v>203</v>
      </c>
      <c r="E18" s="9" t="s">
        <v>125</v>
      </c>
      <c r="F18" s="10" t="n">
        <v>18</v>
      </c>
      <c r="G18" s="10" t="n">
        <v>1.3</v>
      </c>
      <c r="H18" s="10" t="n">
        <v>15</v>
      </c>
      <c r="I18" s="11" t="n">
        <f aca="false">IF(G18="","",G18/0.4364)</f>
        <v>2.97891842346471</v>
      </c>
      <c r="J18" s="11" t="n">
        <f aca="false">IF(H18="","",H18/0.8301)</f>
        <v>18.0701120346946</v>
      </c>
      <c r="K18" s="9" t="s">
        <v>253</v>
      </c>
      <c r="L18" s="9" t="s">
        <v>254</v>
      </c>
      <c r="M18" s="9" t="s">
        <v>255</v>
      </c>
      <c r="N18" s="9" t="s">
        <v>256</v>
      </c>
      <c r="O18" s="9" t="s">
        <v>257</v>
      </c>
      <c r="P18" s="9" t="s">
        <v>72</v>
      </c>
      <c r="Q18" s="9" t="s">
        <v>72</v>
      </c>
      <c r="R18" s="9" t="s">
        <v>258</v>
      </c>
      <c r="S18" s="13" t="s">
        <v>259</v>
      </c>
      <c r="T18" s="9" t="s">
        <v>260</v>
      </c>
      <c r="U18" s="9" t="s">
        <v>261</v>
      </c>
    </row>
    <row r="19" customFormat="false" ht="96" hidden="false" customHeight="true" outlineLevel="0" collapsed="false">
      <c r="A19" s="9" t="s">
        <v>262</v>
      </c>
      <c r="B19" s="9" t="s">
        <v>201</v>
      </c>
      <c r="C19" s="9" t="s">
        <v>263</v>
      </c>
      <c r="D19" s="9" t="s">
        <v>241</v>
      </c>
      <c r="E19" s="9" t="s">
        <v>125</v>
      </c>
      <c r="F19" s="10" t="n">
        <v>0</v>
      </c>
      <c r="G19" s="10" t="n">
        <v>0</v>
      </c>
      <c r="H19" s="10" t="n">
        <v>20</v>
      </c>
      <c r="I19" s="11" t="n">
        <f aca="false">IF(G19="","",G19/0.4364)</f>
        <v>0</v>
      </c>
      <c r="J19" s="11" t="n">
        <f aca="false">IF(H19="","",H19/0.8301)</f>
        <v>24.0934827129262</v>
      </c>
      <c r="K19" s="9" t="s">
        <v>264</v>
      </c>
      <c r="L19" s="9" t="s">
        <v>243</v>
      </c>
      <c r="M19" s="9" t="s">
        <v>265</v>
      </c>
      <c r="N19" s="9" t="s">
        <v>266</v>
      </c>
      <c r="O19" s="9" t="s">
        <v>267</v>
      </c>
      <c r="P19" s="9" t="s">
        <v>268</v>
      </c>
      <c r="Q19" s="9" t="s">
        <v>72</v>
      </c>
      <c r="R19" s="9" t="s">
        <v>269</v>
      </c>
      <c r="S19" s="12" t="s">
        <v>270</v>
      </c>
      <c r="T19" s="9" t="s">
        <v>271</v>
      </c>
      <c r="U19" s="9" t="s">
        <v>272</v>
      </c>
    </row>
    <row r="20" customFormat="false" ht="96" hidden="false" customHeight="true" outlineLevel="0" collapsed="false">
      <c r="A20" s="9" t="s">
        <v>273</v>
      </c>
      <c r="B20" s="9" t="s">
        <v>274</v>
      </c>
      <c r="C20" s="9" t="s">
        <v>275</v>
      </c>
      <c r="D20" s="9" t="s">
        <v>276</v>
      </c>
      <c r="E20" s="9" t="s">
        <v>125</v>
      </c>
      <c r="F20" s="10" t="n">
        <v>18</v>
      </c>
      <c r="G20" s="10" t="n">
        <v>2.2</v>
      </c>
      <c r="H20" s="10" t="n">
        <v>8.3</v>
      </c>
      <c r="I20" s="11" t="n">
        <f aca="false">IF(G20="","",G20/0.4364)</f>
        <v>5.04124656278643</v>
      </c>
      <c r="J20" s="11" t="n">
        <f aca="false">IF(H20="","",H20/0.8301)</f>
        <v>9.99879532586436</v>
      </c>
      <c r="K20" s="9" t="s">
        <v>277</v>
      </c>
      <c r="L20" s="9" t="s">
        <v>278</v>
      </c>
      <c r="M20" s="9" t="s">
        <v>279</v>
      </c>
      <c r="N20" s="9" t="s">
        <v>280</v>
      </c>
      <c r="O20" s="9" t="s">
        <v>281</v>
      </c>
      <c r="P20" s="9" t="s">
        <v>282</v>
      </c>
      <c r="Q20" s="9" t="s">
        <v>283</v>
      </c>
      <c r="R20" s="9" t="s">
        <v>284</v>
      </c>
      <c r="S20" s="12" t="s">
        <v>285</v>
      </c>
      <c r="T20" s="9" t="s">
        <v>286</v>
      </c>
      <c r="U20" s="9" t="s">
        <v>287</v>
      </c>
    </row>
    <row r="21" customFormat="false" ht="96" hidden="false" customHeight="true" outlineLevel="0" collapsed="false">
      <c r="A21" s="9" t="s">
        <v>288</v>
      </c>
      <c r="B21" s="9" t="s">
        <v>274</v>
      </c>
      <c r="C21" s="9" t="s">
        <v>289</v>
      </c>
      <c r="D21" s="9" t="s">
        <v>276</v>
      </c>
      <c r="E21" s="9" t="s">
        <v>125</v>
      </c>
      <c r="F21" s="10" t="n">
        <v>12</v>
      </c>
      <c r="G21" s="10" t="n">
        <v>1.3</v>
      </c>
      <c r="H21" s="10" t="n">
        <v>5</v>
      </c>
      <c r="I21" s="11" t="n">
        <f aca="false">IF(G21="","",G21/0.4364)</f>
        <v>2.97891842346471</v>
      </c>
      <c r="J21" s="11" t="n">
        <f aca="false">IF(H21="","",H21/0.8301)</f>
        <v>6.02337067823154</v>
      </c>
      <c r="K21" s="9" t="s">
        <v>290</v>
      </c>
      <c r="L21" s="9" t="s">
        <v>278</v>
      </c>
      <c r="M21" s="9" t="s">
        <v>291</v>
      </c>
      <c r="N21" s="9" t="s">
        <v>292</v>
      </c>
      <c r="O21" s="9" t="s">
        <v>293</v>
      </c>
      <c r="P21" s="9" t="s">
        <v>144</v>
      </c>
      <c r="Q21" s="9" t="s">
        <v>72</v>
      </c>
      <c r="R21" s="9" t="s">
        <v>294</v>
      </c>
      <c r="S21" s="12" t="s">
        <v>295</v>
      </c>
      <c r="T21" s="9" t="s">
        <v>296</v>
      </c>
      <c r="U21" s="9" t="s">
        <v>297</v>
      </c>
    </row>
    <row r="22" customFormat="false" ht="96" hidden="false" customHeight="true" outlineLevel="0" collapsed="false">
      <c r="A22" s="9" t="s">
        <v>298</v>
      </c>
      <c r="B22" s="9" t="s">
        <v>274</v>
      </c>
      <c r="C22" s="9" t="s">
        <v>299</v>
      </c>
      <c r="D22" s="9" t="s">
        <v>276</v>
      </c>
      <c r="E22" s="9" t="s">
        <v>125</v>
      </c>
      <c r="F22" s="10" t="n">
        <v>14</v>
      </c>
      <c r="G22" s="10" t="n">
        <v>6</v>
      </c>
      <c r="H22" s="10" t="n">
        <v>11.6</v>
      </c>
      <c r="I22" s="11" t="n">
        <f aca="false">IF(G22="","",G22/0.4364)</f>
        <v>13.7488542621448</v>
      </c>
      <c r="J22" s="11" t="n">
        <f aca="false">IF(H22="","",H22/0.8301)</f>
        <v>13.9742199734972</v>
      </c>
      <c r="K22" s="9" t="s">
        <v>300</v>
      </c>
      <c r="L22" s="9" t="s">
        <v>243</v>
      </c>
      <c r="M22" s="9" t="s">
        <v>72</v>
      </c>
      <c r="N22" s="9" t="s">
        <v>301</v>
      </c>
      <c r="O22" s="9" t="s">
        <v>302</v>
      </c>
      <c r="P22" s="9" t="s">
        <v>72</v>
      </c>
      <c r="Q22" s="9" t="s">
        <v>72</v>
      </c>
      <c r="R22" s="9" t="s">
        <v>303</v>
      </c>
      <c r="S22" s="13" t="s">
        <v>304</v>
      </c>
      <c r="T22" s="9" t="s">
        <v>305</v>
      </c>
      <c r="U22" s="9"/>
    </row>
    <row r="23" customFormat="false" ht="96" hidden="false" customHeight="true" outlineLevel="0" collapsed="false">
      <c r="A23" s="9" t="s">
        <v>306</v>
      </c>
      <c r="B23" s="9" t="s">
        <v>307</v>
      </c>
      <c r="C23" s="9" t="s">
        <v>308</v>
      </c>
      <c r="D23" s="9" t="s">
        <v>309</v>
      </c>
      <c r="E23" s="9" t="s">
        <v>310</v>
      </c>
      <c r="F23" s="10" t="n">
        <v>6</v>
      </c>
      <c r="G23" s="10" t="n">
        <v>2.5</v>
      </c>
      <c r="H23" s="10" t="n">
        <v>3.7</v>
      </c>
      <c r="I23" s="11" t="n">
        <f aca="false">IF(G23="","",G23/0.4364)</f>
        <v>5.72868927589368</v>
      </c>
      <c r="J23" s="11" t="n">
        <f aca="false">IF(H23="","",H23/0.8301)</f>
        <v>4.45729430189134</v>
      </c>
      <c r="K23" s="9" t="s">
        <v>311</v>
      </c>
      <c r="L23" s="9" t="s">
        <v>59</v>
      </c>
      <c r="M23" s="9" t="s">
        <v>72</v>
      </c>
      <c r="N23" s="9" t="s">
        <v>72</v>
      </c>
      <c r="O23" s="9" t="s">
        <v>312</v>
      </c>
      <c r="P23" s="9" t="s">
        <v>72</v>
      </c>
      <c r="Q23" s="9" t="s">
        <v>72</v>
      </c>
      <c r="R23" s="9" t="s">
        <v>313</v>
      </c>
      <c r="S23" s="9" t="s">
        <v>314</v>
      </c>
      <c r="T23" s="9" t="s">
        <v>315</v>
      </c>
      <c r="U23" s="9"/>
    </row>
    <row r="24" customFormat="false" ht="96" hidden="false" customHeight="true" outlineLevel="0" collapsed="false">
      <c r="A24" s="9" t="s">
        <v>316</v>
      </c>
      <c r="B24" s="9" t="s">
        <v>307</v>
      </c>
      <c r="C24" s="9" t="s">
        <v>317</v>
      </c>
      <c r="D24" s="9" t="s">
        <v>318</v>
      </c>
      <c r="E24" s="9" t="s">
        <v>310</v>
      </c>
      <c r="F24" s="10"/>
      <c r="G24" s="10"/>
      <c r="H24" s="10"/>
      <c r="I24" s="11" t="str">
        <f aca="false">IF(G24="","",G24/0.4364)</f>
        <v/>
      </c>
      <c r="J24" s="11" t="str">
        <f aca="false">IF(H24="","",H24/0.8301)</f>
        <v/>
      </c>
      <c r="K24" s="9" t="s">
        <v>319</v>
      </c>
      <c r="L24" s="9" t="s">
        <v>175</v>
      </c>
      <c r="M24" s="9" t="s">
        <v>72</v>
      </c>
      <c r="N24" s="9" t="s">
        <v>72</v>
      </c>
      <c r="O24" s="9" t="s">
        <v>72</v>
      </c>
      <c r="P24" s="9" t="s">
        <v>72</v>
      </c>
      <c r="Q24" s="9" t="s">
        <v>72</v>
      </c>
      <c r="R24" s="9" t="s">
        <v>320</v>
      </c>
      <c r="S24" s="9" t="s">
        <v>314</v>
      </c>
      <c r="T24" s="9" t="s">
        <v>321</v>
      </c>
      <c r="U24" s="9"/>
    </row>
    <row r="25" customFormat="false" ht="96" hidden="false" customHeight="true" outlineLevel="0" collapsed="false">
      <c r="A25" s="9" t="s">
        <v>322</v>
      </c>
      <c r="B25" s="9" t="s">
        <v>161</v>
      </c>
      <c r="C25" s="9" t="s">
        <v>323</v>
      </c>
      <c r="D25" s="9" t="s">
        <v>318</v>
      </c>
      <c r="E25" s="9" t="s">
        <v>310</v>
      </c>
      <c r="F25" s="10" t="n">
        <v>14</v>
      </c>
      <c r="G25" s="10" t="n">
        <v>3</v>
      </c>
      <c r="H25" s="10" t="n">
        <v>7</v>
      </c>
      <c r="I25" s="11" t="n">
        <f aca="false">IF(G25="","",G25/0.4364)</f>
        <v>6.87442713107241</v>
      </c>
      <c r="J25" s="11" t="n">
        <f aca="false">IF(H25="","",H25/0.8301)</f>
        <v>8.43271894952416</v>
      </c>
      <c r="K25" s="9" t="s">
        <v>324</v>
      </c>
      <c r="L25" s="9" t="s">
        <v>99</v>
      </c>
      <c r="M25" s="9" t="s">
        <v>325</v>
      </c>
      <c r="N25" s="9" t="s">
        <v>326</v>
      </c>
      <c r="O25" s="9" t="s">
        <v>327</v>
      </c>
      <c r="P25" s="9" t="s">
        <v>328</v>
      </c>
      <c r="Q25" s="9" t="s">
        <v>72</v>
      </c>
      <c r="R25" s="9" t="s">
        <v>329</v>
      </c>
      <c r="S25" s="9" t="s">
        <v>330</v>
      </c>
      <c r="T25" s="9" t="s">
        <v>331</v>
      </c>
      <c r="U25" s="9"/>
    </row>
    <row r="26" customFormat="false" ht="96" hidden="false" customHeight="true" outlineLevel="0" collapsed="false">
      <c r="A26" s="9" t="s">
        <v>332</v>
      </c>
      <c r="B26" s="9" t="s">
        <v>333</v>
      </c>
      <c r="C26" s="9" t="s">
        <v>334</v>
      </c>
      <c r="D26" s="9" t="s">
        <v>335</v>
      </c>
      <c r="E26" s="9" t="s">
        <v>336</v>
      </c>
      <c r="F26" s="10" t="n">
        <v>18</v>
      </c>
      <c r="G26" s="10" t="n">
        <v>20</v>
      </c>
      <c r="H26" s="10" t="n">
        <v>0</v>
      </c>
      <c r="I26" s="11" t="n">
        <f aca="false">IF(G26="","",G26/0.4364)</f>
        <v>45.8295142071494</v>
      </c>
      <c r="J26" s="11" t="n">
        <f aca="false">IF(H26="","",H26/0.8301)</f>
        <v>0</v>
      </c>
      <c r="K26" s="9" t="s">
        <v>337</v>
      </c>
      <c r="L26" s="9" t="s">
        <v>99</v>
      </c>
      <c r="M26" s="9" t="s">
        <v>338</v>
      </c>
      <c r="N26" s="9" t="s">
        <v>339</v>
      </c>
      <c r="O26" s="9" t="s">
        <v>340</v>
      </c>
      <c r="P26" s="9" t="s">
        <v>341</v>
      </c>
      <c r="Q26" s="9" t="s">
        <v>72</v>
      </c>
      <c r="R26" s="9" t="s">
        <v>342</v>
      </c>
      <c r="S26" s="12" t="s">
        <v>343</v>
      </c>
      <c r="T26" s="9" t="s">
        <v>344</v>
      </c>
      <c r="U26" s="9"/>
    </row>
    <row r="27" customFormat="false" ht="96" hidden="false" customHeight="true" outlineLevel="0" collapsed="false">
      <c r="A27" s="9" t="s">
        <v>345</v>
      </c>
      <c r="B27" s="9" t="s">
        <v>346</v>
      </c>
      <c r="C27" s="9" t="s">
        <v>347</v>
      </c>
      <c r="D27" s="9" t="s">
        <v>348</v>
      </c>
      <c r="E27" s="9" t="s">
        <v>349</v>
      </c>
      <c r="F27" s="10" t="n">
        <v>15</v>
      </c>
      <c r="G27" s="10" t="n">
        <v>0</v>
      </c>
      <c r="H27" s="10" t="n">
        <v>12</v>
      </c>
      <c r="I27" s="11" t="n">
        <f aca="false">IF(G27="","",G27/0.4364)</f>
        <v>0</v>
      </c>
      <c r="J27" s="11" t="n">
        <f aca="false">IF(H27="","",H27/0.8301)</f>
        <v>14.4560896277557</v>
      </c>
      <c r="K27" s="9" t="s">
        <v>350</v>
      </c>
      <c r="L27" s="9" t="s">
        <v>351</v>
      </c>
      <c r="M27" s="9" t="s">
        <v>352</v>
      </c>
      <c r="N27" s="9" t="s">
        <v>353</v>
      </c>
      <c r="O27" s="9" t="s">
        <v>354</v>
      </c>
      <c r="P27" s="9" t="s">
        <v>355</v>
      </c>
      <c r="Q27" s="9" t="s">
        <v>356</v>
      </c>
      <c r="R27" s="9" t="s">
        <v>357</v>
      </c>
      <c r="S27" s="14" t="s">
        <v>358</v>
      </c>
      <c r="T27" s="9" t="s">
        <v>359</v>
      </c>
      <c r="U27" s="9" t="s">
        <v>360</v>
      </c>
    </row>
    <row r="28" customFormat="false" ht="96" hidden="false" customHeight="true" outlineLevel="0" collapsed="false">
      <c r="A28" s="9" t="s">
        <v>361</v>
      </c>
      <c r="B28" s="9" t="s">
        <v>362</v>
      </c>
      <c r="C28" s="9" t="s">
        <v>363</v>
      </c>
      <c r="D28" s="9" t="s">
        <v>348</v>
      </c>
      <c r="E28" s="9" t="s">
        <v>349</v>
      </c>
      <c r="F28" s="10" t="n">
        <v>6</v>
      </c>
      <c r="G28" s="10" t="n">
        <v>0</v>
      </c>
      <c r="H28" s="10" t="n">
        <v>0</v>
      </c>
      <c r="I28" s="11" t="n">
        <f aca="false">IF(G28="","",G28/0.4364)</f>
        <v>0</v>
      </c>
      <c r="J28" s="11" t="n">
        <f aca="false">IF(H28="","",H28/0.8301)</f>
        <v>0</v>
      </c>
      <c r="K28" s="9" t="s">
        <v>364</v>
      </c>
      <c r="L28" s="9" t="s">
        <v>351</v>
      </c>
      <c r="M28" s="9" t="s">
        <v>365</v>
      </c>
      <c r="N28" s="9" t="s">
        <v>366</v>
      </c>
      <c r="O28" s="9" t="s">
        <v>367</v>
      </c>
      <c r="P28" s="9" t="s">
        <v>368</v>
      </c>
      <c r="Q28" s="9" t="s">
        <v>369</v>
      </c>
      <c r="R28" s="9" t="s">
        <v>370</v>
      </c>
      <c r="S28" s="12" t="s">
        <v>371</v>
      </c>
      <c r="T28" s="9" t="s">
        <v>372</v>
      </c>
      <c r="U28" s="9" t="s">
        <v>373</v>
      </c>
    </row>
    <row r="29" customFormat="false" ht="96" hidden="false" customHeight="true" outlineLevel="0" collapsed="false">
      <c r="A29" s="9" t="s">
        <v>374</v>
      </c>
      <c r="B29" s="9" t="s">
        <v>375</v>
      </c>
      <c r="C29" s="9" t="s">
        <v>376</v>
      </c>
      <c r="D29" s="9" t="s">
        <v>348</v>
      </c>
      <c r="E29" s="9" t="s">
        <v>349</v>
      </c>
      <c r="F29" s="10" t="n">
        <v>0</v>
      </c>
      <c r="G29" s="10" t="n">
        <v>0</v>
      </c>
      <c r="H29" s="10" t="n">
        <v>20</v>
      </c>
      <c r="I29" s="11" t="n">
        <f aca="false">IF(G29="","",G29/0.4364)</f>
        <v>0</v>
      </c>
      <c r="J29" s="11" t="n">
        <f aca="false">IF(H29="","",H29/0.8301)</f>
        <v>24.0934827129262</v>
      </c>
      <c r="K29" s="9" t="s">
        <v>377</v>
      </c>
      <c r="L29" s="9" t="s">
        <v>351</v>
      </c>
      <c r="M29" s="9" t="s">
        <v>265</v>
      </c>
      <c r="N29" s="9" t="s">
        <v>378</v>
      </c>
      <c r="O29" s="9" t="s">
        <v>379</v>
      </c>
      <c r="P29" s="9" t="s">
        <v>380</v>
      </c>
      <c r="Q29" s="9" t="s">
        <v>381</v>
      </c>
      <c r="R29" s="9" t="s">
        <v>382</v>
      </c>
      <c r="S29" s="12" t="s">
        <v>383</v>
      </c>
      <c r="T29" s="9" t="s">
        <v>384</v>
      </c>
      <c r="U29" s="9" t="s">
        <v>385</v>
      </c>
    </row>
    <row r="30" customFormat="false" ht="96" hidden="false" customHeight="true" outlineLevel="0" collapsed="false">
      <c r="A30" s="9" t="s">
        <v>386</v>
      </c>
      <c r="B30" s="9" t="s">
        <v>387</v>
      </c>
      <c r="C30" s="9" t="s">
        <v>388</v>
      </c>
      <c r="D30" s="9" t="s">
        <v>348</v>
      </c>
      <c r="E30" s="9" t="s">
        <v>349</v>
      </c>
      <c r="F30" s="10" t="n">
        <v>5</v>
      </c>
      <c r="G30" s="10" t="n">
        <v>0</v>
      </c>
      <c r="H30" s="10" t="n">
        <v>0</v>
      </c>
      <c r="I30" s="11" t="n">
        <f aca="false">IF(G30="","",G30/0.4364)</f>
        <v>0</v>
      </c>
      <c r="J30" s="11" t="n">
        <f aca="false">IF(H30="","",H30/0.8301)</f>
        <v>0</v>
      </c>
      <c r="K30" s="9" t="s">
        <v>389</v>
      </c>
      <c r="L30" s="9" t="s">
        <v>351</v>
      </c>
      <c r="M30" s="9" t="s">
        <v>390</v>
      </c>
      <c r="N30" s="9" t="s">
        <v>366</v>
      </c>
      <c r="O30" s="9" t="s">
        <v>391</v>
      </c>
      <c r="P30" s="9" t="s">
        <v>72</v>
      </c>
      <c r="Q30" s="9" t="s">
        <v>392</v>
      </c>
      <c r="R30" s="9" t="s">
        <v>393</v>
      </c>
      <c r="S30" s="12" t="s">
        <v>394</v>
      </c>
      <c r="T30" s="9" t="s">
        <v>395</v>
      </c>
      <c r="U30" s="9" t="s">
        <v>396</v>
      </c>
    </row>
    <row r="31" customFormat="false" ht="96" hidden="false" customHeight="true" outlineLevel="0" collapsed="false">
      <c r="A31" s="9" t="s">
        <v>397</v>
      </c>
      <c r="B31" s="9" t="s">
        <v>387</v>
      </c>
      <c r="C31" s="9" t="s">
        <v>398</v>
      </c>
      <c r="D31" s="9" t="s">
        <v>348</v>
      </c>
      <c r="E31" s="9" t="s">
        <v>349</v>
      </c>
      <c r="F31" s="10" t="n">
        <v>0</v>
      </c>
      <c r="G31" s="10" t="n">
        <v>0</v>
      </c>
      <c r="H31" s="10" t="n">
        <v>0</v>
      </c>
      <c r="I31" s="11" t="n">
        <f aca="false">IF(G31="","",G31/0.4364)</f>
        <v>0</v>
      </c>
      <c r="J31" s="11" t="n">
        <f aca="false">IF(H31="","",H31/0.8301)</f>
        <v>0</v>
      </c>
      <c r="K31" s="9" t="s">
        <v>399</v>
      </c>
      <c r="L31" s="9" t="s">
        <v>351</v>
      </c>
      <c r="M31" s="9" t="s">
        <v>265</v>
      </c>
      <c r="N31" s="9" t="s">
        <v>400</v>
      </c>
      <c r="O31" s="9" t="s">
        <v>401</v>
      </c>
      <c r="P31" s="9" t="s">
        <v>72</v>
      </c>
      <c r="Q31" s="9" t="s">
        <v>72</v>
      </c>
      <c r="R31" s="9" t="s">
        <v>402</v>
      </c>
      <c r="S31" s="9" t="s">
        <v>403</v>
      </c>
      <c r="T31" s="9" t="s">
        <v>404</v>
      </c>
      <c r="U31" s="9" t="s">
        <v>405</v>
      </c>
    </row>
    <row r="32" customFormat="false" ht="96" hidden="false" customHeight="true" outlineLevel="0" collapsed="false">
      <c r="A32" s="9" t="s">
        <v>406</v>
      </c>
      <c r="B32" s="9" t="s">
        <v>407</v>
      </c>
      <c r="C32" s="9" t="s">
        <v>408</v>
      </c>
      <c r="D32" s="9" t="s">
        <v>348</v>
      </c>
      <c r="E32" s="9" t="s">
        <v>349</v>
      </c>
      <c r="F32" s="10" t="n">
        <v>8</v>
      </c>
      <c r="G32" s="10" t="n">
        <v>14</v>
      </c>
      <c r="H32" s="10" t="n">
        <v>4</v>
      </c>
      <c r="I32" s="11" t="n">
        <f aca="false">IF(G32="","",G32/0.4364)</f>
        <v>32.0806599450046</v>
      </c>
      <c r="J32" s="11" t="n">
        <f aca="false">IF(H32="","",H32/0.8301)</f>
        <v>4.81869654258523</v>
      </c>
      <c r="K32" s="9" t="s">
        <v>409</v>
      </c>
      <c r="L32" s="9" t="s">
        <v>351</v>
      </c>
      <c r="M32" s="9" t="s">
        <v>72</v>
      </c>
      <c r="N32" s="9" t="s">
        <v>72</v>
      </c>
      <c r="O32" s="9" t="s">
        <v>410</v>
      </c>
      <c r="P32" s="9" t="s">
        <v>72</v>
      </c>
      <c r="Q32" s="9" t="s">
        <v>72</v>
      </c>
      <c r="R32" s="9" t="s">
        <v>411</v>
      </c>
      <c r="S32" s="12" t="s">
        <v>412</v>
      </c>
      <c r="T32" s="9" t="s">
        <v>413</v>
      </c>
      <c r="U32" s="9" t="s">
        <v>405</v>
      </c>
    </row>
    <row r="33" customFormat="false" ht="96" hidden="false" customHeight="true" outlineLevel="0" collapsed="false">
      <c r="A33" s="9" t="s">
        <v>414</v>
      </c>
      <c r="B33" s="9" t="s">
        <v>415</v>
      </c>
      <c r="C33" s="9" t="s">
        <v>416</v>
      </c>
      <c r="D33" s="9" t="s">
        <v>348</v>
      </c>
      <c r="E33" s="9" t="s">
        <v>349</v>
      </c>
      <c r="F33" s="10" t="n">
        <v>0</v>
      </c>
      <c r="G33" s="10" t="n">
        <v>13</v>
      </c>
      <c r="H33" s="10" t="n">
        <v>21</v>
      </c>
      <c r="I33" s="11" t="n">
        <f aca="false">IF(G33="","",G33/0.4364)</f>
        <v>29.7891842346471</v>
      </c>
      <c r="J33" s="11" t="n">
        <f aca="false">IF(H33="","",H33/0.8301)</f>
        <v>25.2981568485725</v>
      </c>
      <c r="K33" s="9" t="s">
        <v>417</v>
      </c>
      <c r="L33" s="9" t="s">
        <v>351</v>
      </c>
      <c r="M33" s="9" t="s">
        <v>265</v>
      </c>
      <c r="N33" s="9" t="s">
        <v>418</v>
      </c>
      <c r="O33" s="9" t="s">
        <v>419</v>
      </c>
      <c r="P33" s="9" t="s">
        <v>72</v>
      </c>
      <c r="Q33" s="9" t="s">
        <v>420</v>
      </c>
      <c r="R33" s="9" t="s">
        <v>421</v>
      </c>
      <c r="S33" s="12" t="s">
        <v>422</v>
      </c>
      <c r="T33" s="9" t="s">
        <v>423</v>
      </c>
      <c r="U33" s="9" t="s">
        <v>424</v>
      </c>
    </row>
    <row r="34" customFormat="false" ht="96" hidden="false" customHeight="true" outlineLevel="0" collapsed="false">
      <c r="A34" s="9" t="s">
        <v>425</v>
      </c>
      <c r="B34" s="9" t="s">
        <v>426</v>
      </c>
      <c r="C34" s="9" t="s">
        <v>427</v>
      </c>
      <c r="D34" s="9" t="s">
        <v>348</v>
      </c>
      <c r="E34" s="9" t="s">
        <v>349</v>
      </c>
      <c r="F34" s="10" t="n">
        <v>1</v>
      </c>
      <c r="G34" s="10" t="n">
        <v>0</v>
      </c>
      <c r="H34" s="10" t="n">
        <v>1</v>
      </c>
      <c r="I34" s="11" t="n">
        <f aca="false">IF(G34="","",G34/0.4364)</f>
        <v>0</v>
      </c>
      <c r="J34" s="11" t="n">
        <f aca="false">IF(H34="","",H34/0.8301)</f>
        <v>1.20467413564631</v>
      </c>
      <c r="K34" s="9" t="s">
        <v>428</v>
      </c>
      <c r="L34" s="9" t="s">
        <v>429</v>
      </c>
      <c r="M34" s="9" t="s">
        <v>430</v>
      </c>
      <c r="N34" s="9" t="s">
        <v>431</v>
      </c>
      <c r="O34" s="9" t="s">
        <v>432</v>
      </c>
      <c r="P34" s="9" t="s">
        <v>72</v>
      </c>
      <c r="Q34" s="9" t="s">
        <v>433</v>
      </c>
      <c r="R34" s="9" t="s">
        <v>434</v>
      </c>
      <c r="S34" s="12" t="s">
        <v>435</v>
      </c>
      <c r="T34" s="9" t="s">
        <v>436</v>
      </c>
      <c r="U34" s="9" t="s">
        <v>437</v>
      </c>
    </row>
    <row r="35" customFormat="false" ht="96" hidden="false" customHeight="true" outlineLevel="0" collapsed="false">
      <c r="A35" s="9" t="s">
        <v>438</v>
      </c>
      <c r="B35" s="9" t="s">
        <v>439</v>
      </c>
      <c r="C35" s="9" t="s">
        <v>440</v>
      </c>
      <c r="D35" s="9" t="s">
        <v>348</v>
      </c>
      <c r="E35" s="9" t="s">
        <v>349</v>
      </c>
      <c r="F35" s="10" t="n">
        <v>2</v>
      </c>
      <c r="G35" s="10" t="n">
        <v>3</v>
      </c>
      <c r="H35" s="10" t="n">
        <v>2</v>
      </c>
      <c r="I35" s="11" t="n">
        <f aca="false">IF(G35="","",G35/0.4364)</f>
        <v>6.87442713107241</v>
      </c>
      <c r="J35" s="11" t="n">
        <f aca="false">IF(H35="","",H35/0.8301)</f>
        <v>2.40934827129262</v>
      </c>
      <c r="K35" s="9" t="s">
        <v>441</v>
      </c>
      <c r="L35" s="9" t="s">
        <v>442</v>
      </c>
      <c r="M35" s="9" t="s">
        <v>443</v>
      </c>
      <c r="N35" s="9" t="s">
        <v>444</v>
      </c>
      <c r="O35" s="9" t="s">
        <v>445</v>
      </c>
      <c r="P35" s="9" t="s">
        <v>446</v>
      </c>
      <c r="Q35" s="9" t="s">
        <v>447</v>
      </c>
      <c r="R35" s="9" t="s">
        <v>448</v>
      </c>
      <c r="S35" s="14" t="s">
        <v>449</v>
      </c>
      <c r="T35" s="9" t="s">
        <v>450</v>
      </c>
      <c r="U35" s="9" t="s">
        <v>451</v>
      </c>
    </row>
    <row r="36" customFormat="false" ht="96" hidden="false" customHeight="true" outlineLevel="0" collapsed="false">
      <c r="A36" s="9" t="s">
        <v>452</v>
      </c>
      <c r="B36" s="9" t="s">
        <v>453</v>
      </c>
      <c r="C36" s="9" t="s">
        <v>454</v>
      </c>
      <c r="D36" s="9" t="s">
        <v>455</v>
      </c>
      <c r="E36" s="9" t="s">
        <v>72</v>
      </c>
      <c r="F36" s="10" t="n">
        <v>22</v>
      </c>
      <c r="G36" s="10" t="n">
        <v>0</v>
      </c>
      <c r="H36" s="10" t="n">
        <v>0</v>
      </c>
      <c r="I36" s="11" t="n">
        <f aca="false">IF(G36="","",G36/0.4364)</f>
        <v>0</v>
      </c>
      <c r="J36" s="11" t="n">
        <f aca="false">IF(H36="","",H36/0.8301)</f>
        <v>0</v>
      </c>
      <c r="K36" s="9" t="s">
        <v>72</v>
      </c>
      <c r="L36" s="9" t="s">
        <v>351</v>
      </c>
      <c r="M36" s="9" t="s">
        <v>72</v>
      </c>
      <c r="N36" s="9" t="s">
        <v>72</v>
      </c>
      <c r="O36" s="9" t="s">
        <v>456</v>
      </c>
      <c r="P36" s="9" t="s">
        <v>72</v>
      </c>
      <c r="Q36" s="9" t="s">
        <v>72</v>
      </c>
      <c r="R36" s="9" t="s">
        <v>457</v>
      </c>
      <c r="S36" s="9" t="s">
        <v>330</v>
      </c>
      <c r="T36" s="9" t="s">
        <v>458</v>
      </c>
      <c r="U36" s="9"/>
    </row>
    <row r="37" customFormat="false" ht="96" hidden="false" customHeight="true" outlineLevel="0" collapsed="false">
      <c r="A37" s="9" t="s">
        <v>459</v>
      </c>
      <c r="B37" s="9" t="s">
        <v>453</v>
      </c>
      <c r="C37" s="9" t="s">
        <v>460</v>
      </c>
      <c r="D37" s="9" t="s">
        <v>461</v>
      </c>
      <c r="E37" s="9" t="s">
        <v>310</v>
      </c>
      <c r="F37" s="10" t="n">
        <v>15</v>
      </c>
      <c r="G37" s="10" t="n">
        <v>0</v>
      </c>
      <c r="H37" s="10" t="n">
        <v>0</v>
      </c>
      <c r="I37" s="11" t="n">
        <f aca="false">IF(G37="","",G37/0.4364)</f>
        <v>0</v>
      </c>
      <c r="J37" s="11" t="n">
        <f aca="false">IF(H37="","",H37/0.8301)</f>
        <v>0</v>
      </c>
      <c r="K37" s="9" t="s">
        <v>462</v>
      </c>
      <c r="L37" s="9" t="s">
        <v>351</v>
      </c>
      <c r="M37" s="9" t="s">
        <v>72</v>
      </c>
      <c r="N37" s="9" t="s">
        <v>72</v>
      </c>
      <c r="O37" s="9" t="s">
        <v>463</v>
      </c>
      <c r="P37" s="9" t="s">
        <v>72</v>
      </c>
      <c r="Q37" s="9" t="s">
        <v>72</v>
      </c>
      <c r="R37" s="9" t="s">
        <v>464</v>
      </c>
      <c r="S37" s="9" t="s">
        <v>330</v>
      </c>
      <c r="T37" s="9" t="s">
        <v>465</v>
      </c>
      <c r="U37" s="9"/>
    </row>
    <row r="38" customFormat="false" ht="96" hidden="false" customHeight="true" outlineLevel="0" collapsed="false">
      <c r="A38" s="9" t="s">
        <v>466</v>
      </c>
      <c r="B38" s="9" t="s">
        <v>453</v>
      </c>
      <c r="C38" s="9" t="s">
        <v>467</v>
      </c>
      <c r="D38" s="9" t="s">
        <v>461</v>
      </c>
      <c r="E38" s="9" t="s">
        <v>310</v>
      </c>
      <c r="F38" s="10" t="n">
        <v>7</v>
      </c>
      <c r="G38" s="10" t="n">
        <v>0</v>
      </c>
      <c r="H38" s="10" t="n">
        <v>3</v>
      </c>
      <c r="I38" s="11" t="n">
        <f aca="false">IF(G38="","",G38/0.4364)</f>
        <v>0</v>
      </c>
      <c r="J38" s="11" t="n">
        <f aca="false">IF(H38="","",H38/0.8301)</f>
        <v>3.61402240693892</v>
      </c>
      <c r="K38" s="9" t="s">
        <v>468</v>
      </c>
      <c r="L38" s="9" t="s">
        <v>469</v>
      </c>
      <c r="M38" s="9" t="s">
        <v>72</v>
      </c>
      <c r="N38" s="9" t="s">
        <v>72</v>
      </c>
      <c r="O38" s="9" t="s">
        <v>470</v>
      </c>
      <c r="P38" s="9" t="s">
        <v>72</v>
      </c>
      <c r="Q38" s="9" t="s">
        <v>72</v>
      </c>
      <c r="R38" s="9" t="s">
        <v>471</v>
      </c>
      <c r="S38" s="14" t="s">
        <v>472</v>
      </c>
      <c r="T38" s="9" t="s">
        <v>473</v>
      </c>
      <c r="U38" s="9"/>
    </row>
    <row r="39" customFormat="false" ht="96" hidden="false" customHeight="true" outlineLevel="0" collapsed="false">
      <c r="A39" s="9" t="s">
        <v>474</v>
      </c>
      <c r="B39" s="9" t="s">
        <v>475</v>
      </c>
      <c r="C39" s="9" t="s">
        <v>476</v>
      </c>
      <c r="D39" s="9" t="s">
        <v>477</v>
      </c>
      <c r="E39" s="9" t="s">
        <v>72</v>
      </c>
      <c r="F39" s="10"/>
      <c r="G39" s="10"/>
      <c r="H39" s="10"/>
      <c r="I39" s="11" t="str">
        <f aca="false">IF(G39="","",G39/0.4364)</f>
        <v/>
      </c>
      <c r="J39" s="11" t="str">
        <f aca="false">IF(H39="","",H39/0.8301)</f>
        <v/>
      </c>
      <c r="K39" s="9" t="s">
        <v>478</v>
      </c>
      <c r="L39" s="9" t="s">
        <v>469</v>
      </c>
      <c r="M39" s="9" t="s">
        <v>443</v>
      </c>
      <c r="N39" s="9" t="s">
        <v>479</v>
      </c>
      <c r="O39" s="9" t="s">
        <v>480</v>
      </c>
      <c r="P39" s="9" t="s">
        <v>72</v>
      </c>
      <c r="Q39" s="9" t="s">
        <v>72</v>
      </c>
      <c r="R39" s="9" t="s">
        <v>481</v>
      </c>
      <c r="S39" s="9" t="s">
        <v>330</v>
      </c>
      <c r="T39" s="9" t="s">
        <v>482</v>
      </c>
      <c r="U39" s="9"/>
    </row>
    <row r="40" customFormat="false" ht="96" hidden="false" customHeight="true" outlineLevel="0" collapsed="false">
      <c r="A40" s="9" t="s">
        <v>483</v>
      </c>
      <c r="B40" s="9" t="s">
        <v>475</v>
      </c>
      <c r="C40" s="9" t="s">
        <v>484</v>
      </c>
      <c r="D40" s="9" t="s">
        <v>485</v>
      </c>
      <c r="E40" s="9" t="s">
        <v>486</v>
      </c>
      <c r="F40" s="10"/>
      <c r="G40" s="10"/>
      <c r="H40" s="10"/>
      <c r="I40" s="11" t="str">
        <f aca="false">IF(G40="","",G40/0.4364)</f>
        <v/>
      </c>
      <c r="J40" s="11" t="str">
        <f aca="false">IF(H40="","",H40/0.8301)</f>
        <v/>
      </c>
      <c r="K40" s="9" t="s">
        <v>478</v>
      </c>
      <c r="L40" s="9" t="s">
        <v>469</v>
      </c>
      <c r="M40" s="9" t="s">
        <v>443</v>
      </c>
      <c r="N40" s="9" t="s">
        <v>487</v>
      </c>
      <c r="O40" s="9" t="s">
        <v>488</v>
      </c>
      <c r="P40" s="9" t="s">
        <v>72</v>
      </c>
      <c r="Q40" s="9" t="s">
        <v>72</v>
      </c>
      <c r="R40" s="9" t="s">
        <v>481</v>
      </c>
      <c r="S40" s="9" t="s">
        <v>330</v>
      </c>
      <c r="T40" s="9" t="s">
        <v>489</v>
      </c>
      <c r="U40" s="9"/>
    </row>
    <row r="41" customFormat="false" ht="96" hidden="false" customHeight="true" outlineLevel="0" collapsed="false">
      <c r="A41" s="9" t="s">
        <v>490</v>
      </c>
      <c r="B41" s="9" t="s">
        <v>491</v>
      </c>
      <c r="C41" s="9" t="s">
        <v>492</v>
      </c>
      <c r="D41" s="9" t="s">
        <v>477</v>
      </c>
      <c r="E41" s="9" t="s">
        <v>72</v>
      </c>
      <c r="F41" s="10"/>
      <c r="G41" s="10"/>
      <c r="H41" s="10"/>
      <c r="I41" s="11" t="str">
        <f aca="false">IF(G41="","",G41/0.4364)</f>
        <v/>
      </c>
      <c r="J41" s="11" t="str">
        <f aca="false">IF(H41="","",H41/0.8301)</f>
        <v/>
      </c>
      <c r="K41" s="9" t="s">
        <v>493</v>
      </c>
      <c r="L41" s="9" t="s">
        <v>494</v>
      </c>
      <c r="M41" s="9" t="s">
        <v>443</v>
      </c>
      <c r="N41" s="9" t="s">
        <v>400</v>
      </c>
      <c r="O41" s="9" t="s">
        <v>495</v>
      </c>
      <c r="P41" s="9" t="s">
        <v>72</v>
      </c>
      <c r="Q41" s="9" t="s">
        <v>72</v>
      </c>
      <c r="R41" s="9" t="s">
        <v>496</v>
      </c>
      <c r="S41" s="9" t="s">
        <v>330</v>
      </c>
      <c r="T41" s="9" t="s">
        <v>497</v>
      </c>
      <c r="U41" s="9"/>
    </row>
    <row r="42" customFormat="false" ht="96" hidden="false" customHeight="true" outlineLevel="0" collapsed="false">
      <c r="A42" s="9" t="s">
        <v>498</v>
      </c>
      <c r="B42" s="9" t="s">
        <v>499</v>
      </c>
      <c r="C42" s="9" t="s">
        <v>500</v>
      </c>
      <c r="D42" s="9" t="s">
        <v>501</v>
      </c>
      <c r="E42" s="9" t="s">
        <v>310</v>
      </c>
      <c r="F42" s="10" t="n">
        <v>0</v>
      </c>
      <c r="G42" s="10" t="n">
        <v>0</v>
      </c>
      <c r="H42" s="10" t="n">
        <v>0</v>
      </c>
      <c r="I42" s="11" t="n">
        <f aca="false">IF(G42="","",G42/0.4364)</f>
        <v>0</v>
      </c>
      <c r="J42" s="11" t="n">
        <f aca="false">IF(H42="","",H42/0.8301)</f>
        <v>0</v>
      </c>
      <c r="K42" s="9" t="s">
        <v>502</v>
      </c>
      <c r="L42" s="9" t="s">
        <v>59</v>
      </c>
      <c r="M42" s="9" t="s">
        <v>265</v>
      </c>
      <c r="N42" s="9" t="s">
        <v>400</v>
      </c>
      <c r="O42" s="9" t="s">
        <v>503</v>
      </c>
      <c r="P42" s="9" t="s">
        <v>504</v>
      </c>
      <c r="Q42" s="9" t="s">
        <v>72</v>
      </c>
      <c r="R42" s="9" t="s">
        <v>505</v>
      </c>
      <c r="S42" s="9" t="s">
        <v>330</v>
      </c>
      <c r="T42" s="9" t="s">
        <v>506</v>
      </c>
      <c r="U42" s="9"/>
    </row>
    <row r="43" customFormat="false" ht="96" hidden="false" customHeight="true" outlineLevel="0" collapsed="false">
      <c r="A43" s="9" t="s">
        <v>507</v>
      </c>
      <c r="B43" s="9" t="s">
        <v>499</v>
      </c>
      <c r="C43" s="9" t="s">
        <v>508</v>
      </c>
      <c r="D43" s="9" t="s">
        <v>501</v>
      </c>
      <c r="E43" s="9" t="s">
        <v>310</v>
      </c>
      <c r="F43" s="10" t="n">
        <v>0</v>
      </c>
      <c r="G43" s="10" t="n">
        <v>0</v>
      </c>
      <c r="H43" s="10" t="n">
        <v>0</v>
      </c>
      <c r="I43" s="11" t="n">
        <f aca="false">IF(G43="","",G43/0.4364)</f>
        <v>0</v>
      </c>
      <c r="J43" s="11" t="n">
        <f aca="false">IF(H43="","",H43/0.8301)</f>
        <v>0</v>
      </c>
      <c r="K43" s="9" t="s">
        <v>509</v>
      </c>
      <c r="L43" s="9" t="s">
        <v>59</v>
      </c>
      <c r="M43" s="9" t="s">
        <v>265</v>
      </c>
      <c r="N43" s="9" t="s">
        <v>400</v>
      </c>
      <c r="O43" s="9" t="s">
        <v>510</v>
      </c>
      <c r="P43" s="9" t="s">
        <v>511</v>
      </c>
      <c r="Q43" s="9" t="s">
        <v>72</v>
      </c>
      <c r="R43" s="9" t="s">
        <v>512</v>
      </c>
      <c r="S43" s="9" t="s">
        <v>330</v>
      </c>
      <c r="T43" s="9" t="s">
        <v>513</v>
      </c>
      <c r="U43" s="9"/>
    </row>
    <row r="44" customFormat="false" ht="96" hidden="false" customHeight="true" outlineLevel="0" collapsed="false">
      <c r="A44" s="9" t="s">
        <v>514</v>
      </c>
      <c r="B44" s="9" t="s">
        <v>499</v>
      </c>
      <c r="C44" s="9" t="s">
        <v>515</v>
      </c>
      <c r="D44" s="9" t="s">
        <v>501</v>
      </c>
      <c r="E44" s="9" t="s">
        <v>310</v>
      </c>
      <c r="F44" s="10" t="n">
        <v>0</v>
      </c>
      <c r="G44" s="10" t="n">
        <v>0</v>
      </c>
      <c r="H44" s="10" t="n">
        <v>0</v>
      </c>
      <c r="I44" s="11" t="n">
        <f aca="false">IF(G44="","",G44/0.4364)</f>
        <v>0</v>
      </c>
      <c r="J44" s="11" t="n">
        <f aca="false">IF(H44="","",H44/0.8301)</f>
        <v>0</v>
      </c>
      <c r="K44" s="9" t="s">
        <v>516</v>
      </c>
      <c r="L44" s="9" t="s">
        <v>59</v>
      </c>
      <c r="M44" s="9" t="s">
        <v>265</v>
      </c>
      <c r="N44" s="9" t="s">
        <v>400</v>
      </c>
      <c r="O44" s="9" t="s">
        <v>517</v>
      </c>
      <c r="P44" s="9" t="s">
        <v>518</v>
      </c>
      <c r="Q44" s="9" t="s">
        <v>72</v>
      </c>
      <c r="R44" s="9" t="s">
        <v>519</v>
      </c>
      <c r="S44" s="9" t="s">
        <v>330</v>
      </c>
      <c r="T44" s="9" t="s">
        <v>520</v>
      </c>
      <c r="U44" s="9"/>
    </row>
    <row r="45" customFormat="false" ht="96" hidden="false" customHeight="true" outlineLevel="0" collapsed="false">
      <c r="A45" s="9" t="s">
        <v>521</v>
      </c>
      <c r="B45" s="9" t="s">
        <v>499</v>
      </c>
      <c r="C45" s="9" t="s">
        <v>522</v>
      </c>
      <c r="D45" s="9" t="s">
        <v>501</v>
      </c>
      <c r="E45" s="9" t="s">
        <v>310</v>
      </c>
      <c r="F45" s="10" t="n">
        <v>0</v>
      </c>
      <c r="G45" s="10" t="n">
        <v>0</v>
      </c>
      <c r="H45" s="10" t="n">
        <v>0</v>
      </c>
      <c r="I45" s="11" t="n">
        <f aca="false">IF(G45="","",G45/0.4364)</f>
        <v>0</v>
      </c>
      <c r="J45" s="11" t="n">
        <f aca="false">IF(H45="","",H45/0.8301)</f>
        <v>0</v>
      </c>
      <c r="K45" s="9" t="s">
        <v>523</v>
      </c>
      <c r="L45" s="9" t="s">
        <v>99</v>
      </c>
      <c r="M45" s="9" t="s">
        <v>265</v>
      </c>
      <c r="N45" s="9" t="s">
        <v>400</v>
      </c>
      <c r="O45" s="9" t="s">
        <v>524</v>
      </c>
      <c r="P45" s="9" t="s">
        <v>525</v>
      </c>
      <c r="Q45" s="9" t="s">
        <v>72</v>
      </c>
      <c r="R45" s="9" t="s">
        <v>526</v>
      </c>
      <c r="S45" s="9" t="s">
        <v>330</v>
      </c>
      <c r="T45" s="9" t="s">
        <v>527</v>
      </c>
      <c r="U45" s="9"/>
    </row>
  </sheetData>
  <autoFilter ref="A1:U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60"/>
    <col collapsed="false" customWidth="true" hidden="false" outlineLevel="0" max="5" min="5" style="0" width="44"/>
    <col collapsed="false" customWidth="true" hidden="false" outlineLevel="0" max="6" min="6" style="0" width="50"/>
    <col collapsed="false" customWidth="true" hidden="false" outlineLevel="0" max="7" min="7" style="0" width="40"/>
    <col collapsed="false" customWidth="true" hidden="false" outlineLevel="0" max="8" min="8" style="0" width="60"/>
    <col collapsed="false" customWidth="true" hidden="false" outlineLevel="0" max="9" min="9" style="0" width="50"/>
  </cols>
  <sheetData>
    <row r="1" customFormat="false" ht="15" hidden="false" customHeight="false" outlineLevel="0" collapsed="false">
      <c r="A1" s="3" t="s">
        <v>528</v>
      </c>
    </row>
    <row r="2" customFormat="false" ht="31.5" hidden="false" customHeight="true" outlineLevel="0" collapsed="false">
      <c r="A2" s="8" t="s">
        <v>529</v>
      </c>
      <c r="B2" s="8" t="s">
        <v>530</v>
      </c>
      <c r="C2" s="8" t="s">
        <v>531</v>
      </c>
      <c r="D2" s="8" t="s">
        <v>532</v>
      </c>
      <c r="E2" s="8" t="s">
        <v>533</v>
      </c>
      <c r="F2" s="8" t="s">
        <v>534</v>
      </c>
      <c r="G2" s="8" t="s">
        <v>535</v>
      </c>
      <c r="H2" s="8" t="s">
        <v>536</v>
      </c>
      <c r="I2" s="8" t="s">
        <v>537</v>
      </c>
    </row>
    <row r="3" customFormat="false" ht="109.5" hidden="false" customHeight="true" outlineLevel="0" collapsed="false">
      <c r="A3" s="9" t="s">
        <v>538</v>
      </c>
      <c r="B3" s="9" t="s">
        <v>125</v>
      </c>
      <c r="C3" s="9" t="s">
        <v>539</v>
      </c>
      <c r="D3" s="9" t="s">
        <v>540</v>
      </c>
      <c r="E3" s="9" t="s">
        <v>541</v>
      </c>
      <c r="F3" s="9" t="s">
        <v>542</v>
      </c>
      <c r="G3" s="9" t="s">
        <v>543</v>
      </c>
      <c r="H3" s="9" t="s">
        <v>544</v>
      </c>
      <c r="I3" s="9" t="s">
        <v>545</v>
      </c>
    </row>
    <row r="4" customFormat="false" ht="109.5" hidden="false" customHeight="true" outlineLevel="0" collapsed="false">
      <c r="A4" s="9" t="s">
        <v>546</v>
      </c>
      <c r="B4" s="9" t="s">
        <v>547</v>
      </c>
      <c r="C4" s="9" t="s">
        <v>548</v>
      </c>
      <c r="D4" s="9" t="s">
        <v>549</v>
      </c>
      <c r="E4" s="9" t="s">
        <v>550</v>
      </c>
      <c r="F4" s="9" t="s">
        <v>551</v>
      </c>
      <c r="G4" s="9" t="s">
        <v>72</v>
      </c>
      <c r="H4" s="9" t="s">
        <v>552</v>
      </c>
      <c r="I4" s="9" t="s">
        <v>553</v>
      </c>
    </row>
    <row r="5" customFormat="false" ht="109.5" hidden="false" customHeight="true" outlineLevel="0" collapsed="false">
      <c r="A5" s="9" t="s">
        <v>554</v>
      </c>
      <c r="B5" s="9" t="s">
        <v>547</v>
      </c>
      <c r="C5" s="9" t="s">
        <v>555</v>
      </c>
      <c r="D5" s="9" t="s">
        <v>556</v>
      </c>
      <c r="E5" s="9" t="s">
        <v>557</v>
      </c>
      <c r="F5" s="9" t="s">
        <v>558</v>
      </c>
      <c r="G5" s="9" t="s">
        <v>559</v>
      </c>
      <c r="H5" s="9" t="s">
        <v>560</v>
      </c>
      <c r="I5" s="9" t="s">
        <v>561</v>
      </c>
    </row>
    <row r="6" customFormat="false" ht="109.5" hidden="false" customHeight="true" outlineLevel="0" collapsed="false">
      <c r="A6" s="9" t="s">
        <v>562</v>
      </c>
      <c r="B6" s="9" t="s">
        <v>563</v>
      </c>
      <c r="C6" s="9" t="s">
        <v>564</v>
      </c>
      <c r="D6" s="9" t="s">
        <v>565</v>
      </c>
      <c r="E6" s="9" t="s">
        <v>566</v>
      </c>
      <c r="F6" s="9" t="s">
        <v>567</v>
      </c>
      <c r="G6" s="9" t="s">
        <v>568</v>
      </c>
      <c r="H6" s="9" t="s">
        <v>569</v>
      </c>
      <c r="I6" s="9" t="s">
        <v>287</v>
      </c>
    </row>
    <row r="7" customFormat="false" ht="109.5" hidden="false" customHeight="true" outlineLevel="0" collapsed="false">
      <c r="A7" s="9" t="s">
        <v>570</v>
      </c>
      <c r="B7" s="9" t="s">
        <v>547</v>
      </c>
      <c r="C7" s="9" t="s">
        <v>571</v>
      </c>
      <c r="D7" s="9" t="s">
        <v>572</v>
      </c>
      <c r="E7" s="9" t="s">
        <v>573</v>
      </c>
      <c r="F7" s="9" t="s">
        <v>574</v>
      </c>
      <c r="G7" s="9" t="s">
        <v>72</v>
      </c>
      <c r="H7" s="9" t="s">
        <v>575</v>
      </c>
      <c r="I7" s="9" t="s">
        <v>576</v>
      </c>
    </row>
    <row r="8" customFormat="false" ht="109.5" hidden="false" customHeight="true" outlineLevel="0" collapsed="false">
      <c r="A8" s="9" t="s">
        <v>577</v>
      </c>
      <c r="B8" s="9" t="s">
        <v>57</v>
      </c>
      <c r="C8" s="9" t="s">
        <v>578</v>
      </c>
      <c r="D8" s="9" t="s">
        <v>579</v>
      </c>
      <c r="E8" s="9" t="s">
        <v>580</v>
      </c>
      <c r="F8" s="9" t="s">
        <v>581</v>
      </c>
      <c r="G8" s="9" t="s">
        <v>582</v>
      </c>
      <c r="H8" s="9" t="s">
        <v>583</v>
      </c>
      <c r="I8" s="9" t="s">
        <v>584</v>
      </c>
    </row>
    <row r="9" customFormat="false" ht="109.5" hidden="false" customHeight="true" outlineLevel="0" collapsed="false">
      <c r="A9" s="9" t="s">
        <v>585</v>
      </c>
      <c r="B9" s="9" t="s">
        <v>57</v>
      </c>
      <c r="C9" s="9" t="s">
        <v>586</v>
      </c>
      <c r="D9" s="9" t="s">
        <v>587</v>
      </c>
      <c r="E9" s="9" t="s">
        <v>588</v>
      </c>
      <c r="F9" s="9" t="s">
        <v>589</v>
      </c>
      <c r="G9" s="9" t="s">
        <v>590</v>
      </c>
      <c r="H9" s="9" t="s">
        <v>591</v>
      </c>
      <c r="I9" s="9" t="s">
        <v>592</v>
      </c>
    </row>
    <row r="10" customFormat="false" ht="109.5" hidden="false" customHeight="true" outlineLevel="0" collapsed="false">
      <c r="A10" s="9" t="s">
        <v>593</v>
      </c>
      <c r="B10" s="9" t="s">
        <v>594</v>
      </c>
      <c r="C10" s="9" t="s">
        <v>595</v>
      </c>
      <c r="D10" s="9" t="s">
        <v>596</v>
      </c>
      <c r="E10" s="9" t="s">
        <v>597</v>
      </c>
      <c r="F10" s="9" t="s">
        <v>598</v>
      </c>
      <c r="G10" s="9" t="s">
        <v>599</v>
      </c>
      <c r="H10" s="9" t="s">
        <v>600</v>
      </c>
      <c r="I10" s="9"/>
    </row>
    <row r="11" customFormat="false" ht="109.5" hidden="false" customHeight="true" outlineLevel="0" collapsed="false">
      <c r="A11" s="9" t="s">
        <v>601</v>
      </c>
      <c r="B11" s="9" t="s">
        <v>348</v>
      </c>
      <c r="C11" s="9" t="s">
        <v>602</v>
      </c>
      <c r="D11" s="9" t="s">
        <v>603</v>
      </c>
      <c r="E11" s="9" t="s">
        <v>604</v>
      </c>
      <c r="F11" s="9" t="s">
        <v>605</v>
      </c>
      <c r="G11" s="9" t="s">
        <v>606</v>
      </c>
      <c r="H11" s="9" t="s">
        <v>607</v>
      </c>
      <c r="I11" s="9" t="s">
        <v>608</v>
      </c>
    </row>
    <row r="12" customFormat="false" ht="109.5" hidden="false" customHeight="true" outlineLevel="0" collapsed="false">
      <c r="A12" s="9" t="s">
        <v>609</v>
      </c>
      <c r="B12" s="9" t="s">
        <v>57</v>
      </c>
      <c r="C12" s="9" t="s">
        <v>610</v>
      </c>
      <c r="D12" s="9" t="s">
        <v>611</v>
      </c>
      <c r="E12" s="9" t="s">
        <v>612</v>
      </c>
      <c r="F12" s="9" t="s">
        <v>613</v>
      </c>
      <c r="G12" s="9" t="s">
        <v>614</v>
      </c>
      <c r="H12" s="9" t="s">
        <v>615</v>
      </c>
      <c r="I12" s="9" t="s">
        <v>616</v>
      </c>
    </row>
  </sheetData>
  <autoFilter ref="A2:I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62"/>
    <col collapsed="false" customWidth="true" hidden="false" outlineLevel="0" max="3" min="3" style="0" width="30"/>
    <col collapsed="false" customWidth="true" hidden="false" outlineLevel="0" max="4" min="4" style="0" width="34"/>
    <col collapsed="false" customWidth="true" hidden="false" outlineLevel="0" max="5" min="5" style="0" width="40"/>
    <col collapsed="false" customWidth="true" hidden="false" outlineLevel="0" max="6" min="6" style="0" width="20"/>
    <col collapsed="false" customWidth="true" hidden="false" outlineLevel="0" max="7" min="7" style="0" width="40"/>
    <col collapsed="false" customWidth="true" hidden="false" outlineLevel="0" max="8" min="8" style="0" width="50"/>
  </cols>
  <sheetData>
    <row r="1" customFormat="false" ht="15" hidden="false" customHeight="false" outlineLevel="0" collapsed="false">
      <c r="A1" s="3" t="s">
        <v>617</v>
      </c>
    </row>
    <row r="2" customFormat="false" ht="31.5" hidden="false" customHeight="true" outlineLevel="0" collapsed="false">
      <c r="A2" s="8" t="s">
        <v>618</v>
      </c>
      <c r="B2" s="8" t="s">
        <v>619</v>
      </c>
      <c r="C2" s="8" t="s">
        <v>620</v>
      </c>
      <c r="D2" s="8" t="s">
        <v>621</v>
      </c>
      <c r="E2" s="8" t="s">
        <v>48</v>
      </c>
      <c r="F2" s="8" t="s">
        <v>622</v>
      </c>
      <c r="G2" s="8" t="s">
        <v>49</v>
      </c>
      <c r="H2" s="8" t="s">
        <v>537</v>
      </c>
    </row>
    <row r="3" customFormat="false" ht="57.75" hidden="false" customHeight="true" outlineLevel="0" collapsed="false">
      <c r="A3" s="9" t="s">
        <v>623</v>
      </c>
      <c r="B3" s="9" t="s">
        <v>624</v>
      </c>
      <c r="C3" s="9" t="s">
        <v>86</v>
      </c>
      <c r="D3" s="9" t="s">
        <v>88</v>
      </c>
      <c r="E3" s="9" t="s">
        <v>89</v>
      </c>
      <c r="F3" s="9" t="s">
        <v>72</v>
      </c>
      <c r="G3" s="9" t="s">
        <v>625</v>
      </c>
      <c r="H3" s="9" t="s">
        <v>93</v>
      </c>
    </row>
    <row r="4" customFormat="false" ht="57.75" hidden="false" customHeight="true" outlineLevel="0" collapsed="false">
      <c r="A4" s="9" t="s">
        <v>626</v>
      </c>
      <c r="B4" s="9" t="s">
        <v>627</v>
      </c>
      <c r="C4" s="9" t="s">
        <v>86</v>
      </c>
      <c r="D4" s="9" t="s">
        <v>628</v>
      </c>
      <c r="E4" s="9" t="s">
        <v>629</v>
      </c>
      <c r="F4" s="9" t="s">
        <v>72</v>
      </c>
      <c r="G4" s="9" t="s">
        <v>65</v>
      </c>
      <c r="H4" s="9" t="s">
        <v>68</v>
      </c>
    </row>
    <row r="5" customFormat="false" ht="57.75" hidden="false" customHeight="true" outlineLevel="0" collapsed="false">
      <c r="A5" s="9" t="s">
        <v>630</v>
      </c>
      <c r="B5" s="9" t="s">
        <v>631</v>
      </c>
      <c r="C5" s="9" t="s">
        <v>632</v>
      </c>
      <c r="D5" s="9" t="s">
        <v>633</v>
      </c>
      <c r="E5" s="9" t="s">
        <v>634</v>
      </c>
      <c r="F5" s="9" t="s">
        <v>59</v>
      </c>
      <c r="G5" s="9" t="s">
        <v>635</v>
      </c>
      <c r="H5" s="9" t="s">
        <v>636</v>
      </c>
    </row>
    <row r="6" customFormat="false" ht="57.75" hidden="false" customHeight="true" outlineLevel="0" collapsed="false">
      <c r="A6" s="9" t="s">
        <v>637</v>
      </c>
      <c r="B6" s="9" t="s">
        <v>638</v>
      </c>
      <c r="C6" s="9" t="s">
        <v>86</v>
      </c>
      <c r="D6" s="9" t="s">
        <v>639</v>
      </c>
      <c r="E6" s="9" t="s">
        <v>629</v>
      </c>
      <c r="F6" s="9" t="s">
        <v>59</v>
      </c>
      <c r="G6" s="9" t="s">
        <v>640</v>
      </c>
      <c r="H6" s="9" t="s">
        <v>641</v>
      </c>
    </row>
    <row r="7" customFormat="false" ht="57.75" hidden="false" customHeight="true" outlineLevel="0" collapsed="false">
      <c r="A7" s="9" t="s">
        <v>642</v>
      </c>
      <c r="B7" s="9" t="s">
        <v>643</v>
      </c>
      <c r="C7" s="9" t="s">
        <v>644</v>
      </c>
      <c r="D7" s="9" t="s">
        <v>645</v>
      </c>
      <c r="E7" s="9" t="s">
        <v>634</v>
      </c>
      <c r="F7" s="9" t="s">
        <v>72</v>
      </c>
      <c r="G7" s="9" t="s">
        <v>646</v>
      </c>
      <c r="H7" s="9" t="s">
        <v>647</v>
      </c>
    </row>
    <row r="8" customFormat="false" ht="57.75" hidden="false" customHeight="true" outlineLevel="0" collapsed="false">
      <c r="A8" s="9" t="s">
        <v>648</v>
      </c>
      <c r="B8" s="9" t="s">
        <v>649</v>
      </c>
      <c r="C8" s="9" t="s">
        <v>86</v>
      </c>
      <c r="D8" s="9" t="s">
        <v>633</v>
      </c>
      <c r="E8" s="9" t="s">
        <v>634</v>
      </c>
      <c r="F8" s="9" t="s">
        <v>59</v>
      </c>
      <c r="G8" s="9" t="s">
        <v>650</v>
      </c>
      <c r="H8" s="9" t="s">
        <v>651</v>
      </c>
    </row>
    <row r="9" customFormat="false" ht="57.75" hidden="false" customHeight="true" outlineLevel="0" collapsed="false">
      <c r="A9" s="9" t="s">
        <v>652</v>
      </c>
      <c r="B9" s="9" t="s">
        <v>653</v>
      </c>
      <c r="C9" s="9" t="s">
        <v>86</v>
      </c>
      <c r="D9" s="9" t="s">
        <v>654</v>
      </c>
      <c r="E9" s="9" t="s">
        <v>634</v>
      </c>
      <c r="F9" s="9" t="s">
        <v>59</v>
      </c>
      <c r="G9" s="9" t="s">
        <v>655</v>
      </c>
      <c r="H9" s="9" t="s">
        <v>656</v>
      </c>
    </row>
    <row r="10" customFormat="false" ht="57.75" hidden="false" customHeight="true" outlineLevel="0" collapsed="false">
      <c r="A10" s="9" t="s">
        <v>657</v>
      </c>
      <c r="B10" s="9" t="s">
        <v>658</v>
      </c>
      <c r="C10" s="9" t="s">
        <v>659</v>
      </c>
      <c r="D10" s="9" t="s">
        <v>88</v>
      </c>
      <c r="E10" s="9" t="s">
        <v>72</v>
      </c>
      <c r="F10" s="9" t="s">
        <v>72</v>
      </c>
      <c r="G10" s="9" t="s">
        <v>660</v>
      </c>
      <c r="H10" s="9" t="s">
        <v>661</v>
      </c>
    </row>
    <row r="11" customFormat="false" ht="57.75" hidden="false" customHeight="true" outlineLevel="0" collapsed="false">
      <c r="A11" s="9" t="s">
        <v>662</v>
      </c>
      <c r="B11" s="9" t="s">
        <v>663</v>
      </c>
      <c r="C11" s="9" t="s">
        <v>664</v>
      </c>
      <c r="D11" s="9" t="s">
        <v>665</v>
      </c>
      <c r="E11" s="9" t="s">
        <v>72</v>
      </c>
      <c r="F11" s="9" t="s">
        <v>72</v>
      </c>
      <c r="G11" s="9" t="s">
        <v>666</v>
      </c>
      <c r="H11" s="9" t="s">
        <v>667</v>
      </c>
    </row>
    <row r="12" customFormat="false" ht="57.75" hidden="false" customHeight="true" outlineLevel="0" collapsed="false">
      <c r="A12" s="9" t="s">
        <v>668</v>
      </c>
      <c r="B12" s="9" t="s">
        <v>669</v>
      </c>
      <c r="C12" s="9" t="s">
        <v>670</v>
      </c>
      <c r="D12" s="9" t="s">
        <v>633</v>
      </c>
      <c r="E12" s="9" t="s">
        <v>72</v>
      </c>
      <c r="F12" s="9" t="s">
        <v>671</v>
      </c>
      <c r="G12" s="9" t="s">
        <v>672</v>
      </c>
      <c r="H12" s="9" t="s">
        <v>673</v>
      </c>
    </row>
    <row r="13" customFormat="false" ht="57.75" hidden="false" customHeight="true" outlineLevel="0" collapsed="false">
      <c r="A13" s="9" t="s">
        <v>674</v>
      </c>
      <c r="B13" s="9" t="s">
        <v>675</v>
      </c>
      <c r="C13" s="9" t="s">
        <v>676</v>
      </c>
      <c r="D13" s="9" t="s">
        <v>633</v>
      </c>
      <c r="E13" s="9" t="s">
        <v>72</v>
      </c>
      <c r="F13" s="9" t="s">
        <v>671</v>
      </c>
      <c r="G13" s="9" t="s">
        <v>677</v>
      </c>
      <c r="H13" s="9" t="s">
        <v>678</v>
      </c>
    </row>
    <row r="14" customFormat="false" ht="57.75" hidden="false" customHeight="true" outlineLevel="0" collapsed="false">
      <c r="A14" s="9" t="s">
        <v>679</v>
      </c>
      <c r="B14" s="9" t="s">
        <v>680</v>
      </c>
      <c r="C14" s="9" t="s">
        <v>676</v>
      </c>
      <c r="D14" s="9" t="s">
        <v>681</v>
      </c>
      <c r="E14" s="9" t="s">
        <v>72</v>
      </c>
      <c r="F14" s="9" t="s">
        <v>72</v>
      </c>
      <c r="G14" s="9" t="s">
        <v>682</v>
      </c>
      <c r="H14" s="9" t="s">
        <v>683</v>
      </c>
    </row>
    <row r="15" customFormat="false" ht="57.75" hidden="false" customHeight="true" outlineLevel="0" collapsed="false">
      <c r="A15" s="9" t="s">
        <v>684</v>
      </c>
      <c r="B15" s="9" t="s">
        <v>685</v>
      </c>
      <c r="C15" s="9" t="s">
        <v>686</v>
      </c>
      <c r="D15" s="9" t="s">
        <v>88</v>
      </c>
      <c r="E15" s="9" t="s">
        <v>72</v>
      </c>
      <c r="F15" s="9" t="s">
        <v>72</v>
      </c>
      <c r="G15" s="9" t="s">
        <v>687</v>
      </c>
      <c r="H15" s="9" t="s">
        <v>688</v>
      </c>
    </row>
    <row r="16" customFormat="false" ht="57.75" hidden="false" customHeight="true" outlineLevel="0" collapsed="false">
      <c r="A16" s="9" t="s">
        <v>689</v>
      </c>
      <c r="B16" s="9" t="s">
        <v>690</v>
      </c>
      <c r="C16" s="9" t="s">
        <v>691</v>
      </c>
      <c r="D16" s="9" t="s">
        <v>115</v>
      </c>
      <c r="E16" s="9" t="s">
        <v>116</v>
      </c>
      <c r="F16" s="9" t="s">
        <v>99</v>
      </c>
      <c r="G16" s="9" t="s">
        <v>692</v>
      </c>
      <c r="H16" s="9" t="s">
        <v>108</v>
      </c>
    </row>
    <row r="17" customFormat="false" ht="57.75" hidden="false" customHeight="true" outlineLevel="0" collapsed="false">
      <c r="A17" s="9" t="s">
        <v>693</v>
      </c>
      <c r="B17" s="9" t="s">
        <v>694</v>
      </c>
      <c r="C17" s="9" t="s">
        <v>585</v>
      </c>
      <c r="D17" s="9" t="s">
        <v>115</v>
      </c>
      <c r="E17" s="9" t="s">
        <v>116</v>
      </c>
      <c r="F17" s="9" t="s">
        <v>99</v>
      </c>
      <c r="G17" s="9" t="s">
        <v>695</v>
      </c>
      <c r="H17" s="9" t="s">
        <v>120</v>
      </c>
    </row>
    <row r="18" customFormat="false" ht="57.75" hidden="false" customHeight="true" outlineLevel="0" collapsed="false">
      <c r="A18" s="9" t="s">
        <v>696</v>
      </c>
      <c r="B18" s="9" t="s">
        <v>697</v>
      </c>
      <c r="C18" s="9" t="s">
        <v>691</v>
      </c>
      <c r="D18" s="9" t="s">
        <v>698</v>
      </c>
      <c r="E18" s="9" t="s">
        <v>699</v>
      </c>
      <c r="F18" s="9" t="s">
        <v>99</v>
      </c>
      <c r="G18" s="9" t="s">
        <v>700</v>
      </c>
      <c r="H18" s="9" t="s">
        <v>701</v>
      </c>
    </row>
    <row r="19" customFormat="false" ht="57.75" hidden="false" customHeight="true" outlineLevel="0" collapsed="false">
      <c r="A19" s="9" t="s">
        <v>702</v>
      </c>
      <c r="B19" s="9" t="s">
        <v>703</v>
      </c>
      <c r="C19" s="9" t="s">
        <v>585</v>
      </c>
      <c r="D19" s="9" t="s">
        <v>115</v>
      </c>
      <c r="E19" s="9" t="s">
        <v>116</v>
      </c>
      <c r="F19" s="9" t="s">
        <v>99</v>
      </c>
      <c r="G19" s="9" t="s">
        <v>704</v>
      </c>
      <c r="H19" s="9" t="s">
        <v>705</v>
      </c>
    </row>
    <row r="20" customFormat="false" ht="57.75" hidden="false" customHeight="true" outlineLevel="0" collapsed="false">
      <c r="A20" s="9" t="s">
        <v>706</v>
      </c>
      <c r="B20" s="9" t="s">
        <v>707</v>
      </c>
      <c r="C20" s="9" t="s">
        <v>585</v>
      </c>
      <c r="D20" s="9" t="s">
        <v>115</v>
      </c>
      <c r="E20" s="9" t="s">
        <v>116</v>
      </c>
      <c r="F20" s="9" t="s">
        <v>99</v>
      </c>
      <c r="G20" s="9" t="s">
        <v>708</v>
      </c>
      <c r="H20" s="9" t="s">
        <v>709</v>
      </c>
    </row>
    <row r="21" customFormat="false" ht="57.75" hidden="false" customHeight="true" outlineLevel="0" collapsed="false">
      <c r="A21" s="9" t="s">
        <v>710</v>
      </c>
      <c r="B21" s="9" t="s">
        <v>711</v>
      </c>
      <c r="C21" s="9" t="s">
        <v>712</v>
      </c>
      <c r="D21" s="9" t="s">
        <v>115</v>
      </c>
      <c r="E21" s="9" t="s">
        <v>116</v>
      </c>
      <c r="F21" s="9" t="s">
        <v>99</v>
      </c>
      <c r="G21" s="9" t="s">
        <v>713</v>
      </c>
      <c r="H21" s="9" t="s">
        <v>714</v>
      </c>
    </row>
    <row r="22" customFormat="false" ht="57.75" hidden="false" customHeight="true" outlineLevel="0" collapsed="false">
      <c r="A22" s="9" t="s">
        <v>715</v>
      </c>
      <c r="B22" s="9" t="s">
        <v>716</v>
      </c>
      <c r="C22" s="9" t="s">
        <v>585</v>
      </c>
      <c r="D22" s="9" t="s">
        <v>115</v>
      </c>
      <c r="E22" s="9" t="s">
        <v>717</v>
      </c>
      <c r="F22" s="9" t="s">
        <v>72</v>
      </c>
      <c r="G22" s="9" t="s">
        <v>718</v>
      </c>
      <c r="H22" s="9" t="s">
        <v>719</v>
      </c>
    </row>
    <row r="23" customFormat="false" ht="57.75" hidden="false" customHeight="true" outlineLevel="0" collapsed="false">
      <c r="A23" s="9" t="s">
        <v>720</v>
      </c>
      <c r="B23" s="9" t="s">
        <v>721</v>
      </c>
      <c r="C23" s="9" t="s">
        <v>691</v>
      </c>
      <c r="D23" s="9" t="s">
        <v>115</v>
      </c>
      <c r="E23" s="9" t="s">
        <v>699</v>
      </c>
      <c r="F23" s="9" t="s">
        <v>72</v>
      </c>
      <c r="G23" s="9" t="s">
        <v>722</v>
      </c>
      <c r="H23" s="9" t="s">
        <v>723</v>
      </c>
    </row>
    <row r="24" customFormat="false" ht="57.75" hidden="false" customHeight="true" outlineLevel="0" collapsed="false">
      <c r="A24" s="9" t="s">
        <v>724</v>
      </c>
      <c r="B24" s="9" t="s">
        <v>725</v>
      </c>
      <c r="C24" s="9" t="s">
        <v>726</v>
      </c>
      <c r="D24" s="9" t="s">
        <v>115</v>
      </c>
      <c r="E24" s="9" t="s">
        <v>727</v>
      </c>
      <c r="F24" s="9" t="s">
        <v>72</v>
      </c>
      <c r="G24" s="9" t="s">
        <v>728</v>
      </c>
      <c r="H24" s="9" t="s">
        <v>729</v>
      </c>
    </row>
    <row r="25" customFormat="false" ht="57.75" hidden="false" customHeight="true" outlineLevel="0" collapsed="false">
      <c r="A25" s="9" t="s">
        <v>730</v>
      </c>
      <c r="B25" s="9" t="s">
        <v>731</v>
      </c>
      <c r="C25" s="9" t="s">
        <v>732</v>
      </c>
      <c r="D25" s="9" t="s">
        <v>733</v>
      </c>
      <c r="E25" s="9" t="s">
        <v>734</v>
      </c>
      <c r="F25" s="9" t="s">
        <v>59</v>
      </c>
      <c r="G25" s="9" t="s">
        <v>735</v>
      </c>
      <c r="H25" s="9" t="s">
        <v>736</v>
      </c>
    </row>
    <row r="26" customFormat="false" ht="57.75" hidden="false" customHeight="true" outlineLevel="0" collapsed="false">
      <c r="A26" s="9" t="s">
        <v>737</v>
      </c>
      <c r="B26" s="9" t="s">
        <v>738</v>
      </c>
      <c r="C26" s="9" t="s">
        <v>739</v>
      </c>
      <c r="D26" s="9" t="s">
        <v>733</v>
      </c>
      <c r="E26" s="9" t="s">
        <v>734</v>
      </c>
      <c r="F26" s="9" t="s">
        <v>59</v>
      </c>
      <c r="G26" s="9" t="s">
        <v>740</v>
      </c>
      <c r="H26" s="9" t="s">
        <v>741</v>
      </c>
    </row>
    <row r="27" customFormat="false" ht="57.75" hidden="false" customHeight="true" outlineLevel="0" collapsed="false">
      <c r="A27" s="9" t="s">
        <v>742</v>
      </c>
      <c r="B27" s="9" t="s">
        <v>743</v>
      </c>
      <c r="C27" s="9" t="s">
        <v>739</v>
      </c>
      <c r="D27" s="9" t="s">
        <v>733</v>
      </c>
      <c r="E27" s="9" t="s">
        <v>744</v>
      </c>
      <c r="F27" s="9" t="s">
        <v>59</v>
      </c>
      <c r="G27" s="9" t="s">
        <v>745</v>
      </c>
      <c r="H27" s="9" t="s">
        <v>746</v>
      </c>
    </row>
    <row r="28" customFormat="false" ht="57.75" hidden="false" customHeight="true" outlineLevel="0" collapsed="false">
      <c r="A28" s="9" t="s">
        <v>747</v>
      </c>
      <c r="B28" s="9" t="s">
        <v>748</v>
      </c>
      <c r="C28" s="9" t="s">
        <v>739</v>
      </c>
      <c r="D28" s="9" t="s">
        <v>733</v>
      </c>
      <c r="E28" s="9" t="s">
        <v>634</v>
      </c>
      <c r="F28" s="9" t="s">
        <v>59</v>
      </c>
      <c r="G28" s="9" t="s">
        <v>749</v>
      </c>
      <c r="H28" s="9" t="s">
        <v>750</v>
      </c>
    </row>
    <row r="29" customFormat="false" ht="57.75" hidden="false" customHeight="true" outlineLevel="0" collapsed="false">
      <c r="A29" s="9" t="s">
        <v>751</v>
      </c>
      <c r="B29" s="9" t="s">
        <v>752</v>
      </c>
      <c r="C29" s="9" t="s">
        <v>739</v>
      </c>
      <c r="D29" s="9" t="s">
        <v>753</v>
      </c>
      <c r="E29" s="9" t="s">
        <v>734</v>
      </c>
      <c r="F29" s="9" t="s">
        <v>59</v>
      </c>
      <c r="G29" s="9" t="s">
        <v>754</v>
      </c>
      <c r="H29" s="9" t="s">
        <v>755</v>
      </c>
    </row>
    <row r="30" customFormat="false" ht="57.75" hidden="false" customHeight="true" outlineLevel="0" collapsed="false">
      <c r="A30" s="9" t="s">
        <v>756</v>
      </c>
      <c r="B30" s="9" t="s">
        <v>757</v>
      </c>
      <c r="C30" s="9" t="s">
        <v>758</v>
      </c>
      <c r="D30" s="9" t="s">
        <v>733</v>
      </c>
      <c r="E30" s="9" t="s">
        <v>734</v>
      </c>
      <c r="F30" s="9" t="s">
        <v>72</v>
      </c>
      <c r="G30" s="9" t="s">
        <v>759</v>
      </c>
      <c r="H30" s="9" t="s">
        <v>760</v>
      </c>
    </row>
    <row r="31" customFormat="false" ht="57.75" hidden="false" customHeight="true" outlineLevel="0" collapsed="false">
      <c r="A31" s="9" t="s">
        <v>761</v>
      </c>
      <c r="B31" s="9" t="s">
        <v>762</v>
      </c>
      <c r="C31" s="9" t="s">
        <v>763</v>
      </c>
      <c r="D31" s="9" t="s">
        <v>764</v>
      </c>
      <c r="E31" s="9" t="s">
        <v>765</v>
      </c>
      <c r="F31" s="9" t="s">
        <v>766</v>
      </c>
      <c r="G31" s="9" t="s">
        <v>767</v>
      </c>
      <c r="H31" s="9" t="s">
        <v>768</v>
      </c>
    </row>
    <row r="32" customFormat="false" ht="57.75" hidden="false" customHeight="true" outlineLevel="0" collapsed="false">
      <c r="A32" s="9" t="s">
        <v>769</v>
      </c>
      <c r="B32" s="9" t="s">
        <v>770</v>
      </c>
      <c r="C32" s="9" t="s">
        <v>763</v>
      </c>
      <c r="D32" s="9" t="s">
        <v>72</v>
      </c>
      <c r="E32" s="9" t="s">
        <v>771</v>
      </c>
      <c r="F32" s="9" t="s">
        <v>766</v>
      </c>
      <c r="G32" s="9" t="s">
        <v>772</v>
      </c>
      <c r="H32" s="9" t="s">
        <v>773</v>
      </c>
    </row>
    <row r="33" customFormat="false" ht="57.75" hidden="false" customHeight="true" outlineLevel="0" collapsed="false">
      <c r="A33" s="9" t="s">
        <v>774</v>
      </c>
      <c r="B33" s="9" t="s">
        <v>775</v>
      </c>
      <c r="C33" s="9" t="s">
        <v>763</v>
      </c>
      <c r="D33" s="9" t="s">
        <v>72</v>
      </c>
      <c r="E33" s="9" t="s">
        <v>776</v>
      </c>
      <c r="F33" s="9" t="s">
        <v>766</v>
      </c>
      <c r="G33" s="9" t="s">
        <v>777</v>
      </c>
      <c r="H33" s="9" t="s">
        <v>778</v>
      </c>
    </row>
    <row r="34" customFormat="false" ht="57.75" hidden="false" customHeight="true" outlineLevel="0" collapsed="false">
      <c r="A34" s="9" t="s">
        <v>779</v>
      </c>
      <c r="B34" s="9" t="s">
        <v>780</v>
      </c>
      <c r="C34" s="9" t="s">
        <v>763</v>
      </c>
      <c r="D34" s="9" t="s">
        <v>764</v>
      </c>
      <c r="E34" s="9" t="s">
        <v>776</v>
      </c>
      <c r="F34" s="9" t="s">
        <v>766</v>
      </c>
      <c r="G34" s="9" t="s">
        <v>781</v>
      </c>
      <c r="H34" s="9" t="s">
        <v>782</v>
      </c>
    </row>
    <row r="35" customFormat="false" ht="57.75" hidden="false" customHeight="true" outlineLevel="0" collapsed="false">
      <c r="A35" s="9" t="s">
        <v>783</v>
      </c>
      <c r="B35" s="9" t="s">
        <v>784</v>
      </c>
      <c r="C35" s="9" t="s">
        <v>763</v>
      </c>
      <c r="D35" s="9" t="s">
        <v>785</v>
      </c>
      <c r="E35" s="9" t="s">
        <v>786</v>
      </c>
      <c r="F35" s="9" t="s">
        <v>766</v>
      </c>
      <c r="G35" s="9" t="s">
        <v>787</v>
      </c>
      <c r="H35" s="9" t="s">
        <v>788</v>
      </c>
    </row>
    <row r="36" customFormat="false" ht="57.75" hidden="false" customHeight="true" outlineLevel="0" collapsed="false">
      <c r="A36" s="9" t="s">
        <v>789</v>
      </c>
      <c r="B36" s="9" t="s">
        <v>790</v>
      </c>
      <c r="C36" s="9" t="s">
        <v>791</v>
      </c>
      <c r="D36" s="9" t="s">
        <v>72</v>
      </c>
      <c r="E36" s="9" t="s">
        <v>792</v>
      </c>
      <c r="F36" s="9" t="s">
        <v>793</v>
      </c>
      <c r="G36" s="9" t="s">
        <v>794</v>
      </c>
      <c r="H36" s="9" t="s">
        <v>795</v>
      </c>
    </row>
    <row r="37" customFormat="false" ht="57.75" hidden="false" customHeight="true" outlineLevel="0" collapsed="false">
      <c r="A37" s="9" t="s">
        <v>796</v>
      </c>
      <c r="B37" s="9" t="s">
        <v>797</v>
      </c>
      <c r="C37" s="9" t="s">
        <v>798</v>
      </c>
      <c r="D37" s="9" t="s">
        <v>799</v>
      </c>
      <c r="E37" s="9" t="s">
        <v>800</v>
      </c>
      <c r="F37" s="9" t="s">
        <v>801</v>
      </c>
      <c r="G37" s="9" t="s">
        <v>802</v>
      </c>
      <c r="H37" s="9" t="s">
        <v>803</v>
      </c>
    </row>
    <row r="38" customFormat="false" ht="57.75" hidden="false" customHeight="true" outlineLevel="0" collapsed="false">
      <c r="A38" s="9" t="s">
        <v>804</v>
      </c>
      <c r="B38" s="9" t="s">
        <v>805</v>
      </c>
      <c r="C38" s="9" t="s">
        <v>806</v>
      </c>
      <c r="D38" s="9" t="s">
        <v>72</v>
      </c>
      <c r="E38" s="9" t="s">
        <v>800</v>
      </c>
      <c r="F38" s="9" t="s">
        <v>72</v>
      </c>
      <c r="G38" s="9" t="s">
        <v>807</v>
      </c>
      <c r="H38" s="9" t="s">
        <v>808</v>
      </c>
    </row>
    <row r="39" customFormat="false" ht="57.75" hidden="false" customHeight="true" outlineLevel="0" collapsed="false">
      <c r="A39" s="9" t="s">
        <v>809</v>
      </c>
      <c r="B39" s="9" t="s">
        <v>810</v>
      </c>
      <c r="C39" s="9" t="s">
        <v>811</v>
      </c>
      <c r="D39" s="9" t="s">
        <v>88</v>
      </c>
      <c r="E39" s="9" t="s">
        <v>800</v>
      </c>
      <c r="F39" s="9" t="s">
        <v>59</v>
      </c>
      <c r="G39" s="9" t="s">
        <v>812</v>
      </c>
      <c r="H39" s="9" t="s">
        <v>813</v>
      </c>
    </row>
    <row r="40" customFormat="false" ht="57.75" hidden="false" customHeight="true" outlineLevel="0" collapsed="false">
      <c r="A40" s="9" t="s">
        <v>814</v>
      </c>
      <c r="B40" s="9" t="s">
        <v>815</v>
      </c>
      <c r="C40" s="9" t="s">
        <v>811</v>
      </c>
      <c r="D40" s="9" t="s">
        <v>816</v>
      </c>
      <c r="E40" s="9" t="s">
        <v>817</v>
      </c>
      <c r="F40" s="9" t="s">
        <v>818</v>
      </c>
      <c r="G40" s="9" t="s">
        <v>655</v>
      </c>
      <c r="H40" s="9" t="s">
        <v>819</v>
      </c>
    </row>
    <row r="41" customFormat="false" ht="57.75" hidden="false" customHeight="true" outlineLevel="0" collapsed="false">
      <c r="A41" s="9" t="s">
        <v>820</v>
      </c>
      <c r="B41" s="9" t="s">
        <v>821</v>
      </c>
      <c r="C41" s="9" t="s">
        <v>811</v>
      </c>
      <c r="D41" s="9" t="s">
        <v>822</v>
      </c>
      <c r="E41" s="9" t="s">
        <v>817</v>
      </c>
      <c r="F41" s="9" t="s">
        <v>818</v>
      </c>
      <c r="G41" s="9" t="s">
        <v>823</v>
      </c>
      <c r="H41" s="9" t="s">
        <v>824</v>
      </c>
    </row>
    <row r="42" customFormat="false" ht="57.75" hidden="false" customHeight="true" outlineLevel="0" collapsed="false">
      <c r="A42" s="9" t="s">
        <v>825</v>
      </c>
      <c r="B42" s="9" t="s">
        <v>826</v>
      </c>
      <c r="C42" s="9" t="s">
        <v>827</v>
      </c>
      <c r="D42" s="9" t="s">
        <v>628</v>
      </c>
      <c r="E42" s="9" t="s">
        <v>828</v>
      </c>
      <c r="F42" s="9" t="s">
        <v>818</v>
      </c>
      <c r="G42" s="9" t="s">
        <v>829</v>
      </c>
      <c r="H42" s="9" t="s">
        <v>830</v>
      </c>
    </row>
    <row r="43" customFormat="false" ht="57.75" hidden="false" customHeight="true" outlineLevel="0" collapsed="false">
      <c r="A43" s="9" t="s">
        <v>831</v>
      </c>
      <c r="B43" s="9" t="s">
        <v>832</v>
      </c>
      <c r="C43" s="9" t="s">
        <v>833</v>
      </c>
      <c r="D43" s="9" t="s">
        <v>88</v>
      </c>
      <c r="E43" s="9" t="s">
        <v>699</v>
      </c>
      <c r="F43" s="9" t="s">
        <v>72</v>
      </c>
      <c r="G43" s="9" t="s">
        <v>329</v>
      </c>
      <c r="H43" s="9" t="s">
        <v>834</v>
      </c>
    </row>
    <row r="44" customFormat="false" ht="57.75" hidden="false" customHeight="true" outlineLevel="0" collapsed="false">
      <c r="A44" s="9" t="s">
        <v>835</v>
      </c>
      <c r="B44" s="9" t="s">
        <v>836</v>
      </c>
      <c r="C44" s="9" t="s">
        <v>72</v>
      </c>
      <c r="D44" s="9" t="s">
        <v>72</v>
      </c>
      <c r="E44" s="9" t="s">
        <v>837</v>
      </c>
      <c r="F44" s="9" t="s">
        <v>72</v>
      </c>
      <c r="G44" s="9" t="s">
        <v>838</v>
      </c>
      <c r="H44" s="9" t="s">
        <v>839</v>
      </c>
    </row>
    <row r="45" customFormat="false" ht="57.75" hidden="false" customHeight="true" outlineLevel="0" collapsed="false">
      <c r="A45" s="9" t="s">
        <v>840</v>
      </c>
      <c r="B45" s="9" t="s">
        <v>841</v>
      </c>
      <c r="C45" s="9" t="s">
        <v>72</v>
      </c>
      <c r="D45" s="9" t="s">
        <v>72</v>
      </c>
      <c r="E45" s="9" t="s">
        <v>837</v>
      </c>
      <c r="F45" s="9" t="s">
        <v>72</v>
      </c>
      <c r="G45" s="9" t="s">
        <v>842</v>
      </c>
      <c r="H45" s="9" t="s">
        <v>843</v>
      </c>
    </row>
    <row r="46" customFormat="false" ht="57.75" hidden="false" customHeight="true" outlineLevel="0" collapsed="false">
      <c r="A46" s="9" t="s">
        <v>844</v>
      </c>
      <c r="B46" s="9" t="s">
        <v>845</v>
      </c>
      <c r="C46" s="9" t="s">
        <v>846</v>
      </c>
      <c r="D46" s="9" t="s">
        <v>847</v>
      </c>
      <c r="E46" s="9" t="s">
        <v>848</v>
      </c>
      <c r="F46" s="9" t="s">
        <v>818</v>
      </c>
      <c r="G46" s="9" t="s">
        <v>849</v>
      </c>
      <c r="H46" s="9" t="s">
        <v>850</v>
      </c>
    </row>
    <row r="47" customFormat="false" ht="57.75" hidden="false" customHeight="true" outlineLevel="0" collapsed="false">
      <c r="A47" s="9" t="s">
        <v>851</v>
      </c>
      <c r="B47" s="9" t="s">
        <v>852</v>
      </c>
      <c r="C47" s="9" t="s">
        <v>853</v>
      </c>
      <c r="D47" s="9" t="s">
        <v>854</v>
      </c>
      <c r="E47" s="9" t="s">
        <v>855</v>
      </c>
      <c r="F47" s="9" t="s">
        <v>818</v>
      </c>
      <c r="G47" s="9" t="s">
        <v>842</v>
      </c>
      <c r="H47" s="9" t="s">
        <v>856</v>
      </c>
    </row>
    <row r="48" customFormat="false" ht="57.75" hidden="false" customHeight="true" outlineLevel="0" collapsed="false">
      <c r="A48" s="9" t="s">
        <v>857</v>
      </c>
      <c r="B48" s="9" t="s">
        <v>858</v>
      </c>
      <c r="C48" s="9" t="s">
        <v>859</v>
      </c>
      <c r="D48" s="9" t="s">
        <v>72</v>
      </c>
      <c r="E48" s="9" t="s">
        <v>860</v>
      </c>
      <c r="F48" s="9" t="s">
        <v>818</v>
      </c>
      <c r="G48" s="9" t="s">
        <v>861</v>
      </c>
      <c r="H48" s="9" t="s">
        <v>862</v>
      </c>
    </row>
  </sheetData>
  <autoFilter ref="A2:H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62"/>
    <col collapsed="false" customWidth="true" hidden="false" outlineLevel="0" max="3" min="3" style="0" width="52"/>
    <col collapsed="false" customWidth="true" hidden="false" outlineLevel="0" max="4" min="4" style="0" width="12"/>
    <col collapsed="false" customWidth="true" hidden="false" outlineLevel="0" max="5" min="5" style="0" width="26"/>
    <col collapsed="false" customWidth="true" hidden="false" outlineLevel="0" max="6" min="6" style="0" width="48"/>
    <col collapsed="false" customWidth="true" hidden="false" outlineLevel="0" max="7" min="7" style="0" width="50"/>
  </cols>
  <sheetData>
    <row r="1" customFormat="false" ht="15" hidden="false" customHeight="false" outlineLevel="0" collapsed="false">
      <c r="A1" s="3" t="s">
        <v>863</v>
      </c>
    </row>
    <row r="2" customFormat="false" ht="31.5" hidden="false" customHeight="true" outlineLevel="0" collapsed="false">
      <c r="A2" s="8" t="s">
        <v>618</v>
      </c>
      <c r="B2" s="8" t="s">
        <v>619</v>
      </c>
      <c r="C2" s="8" t="s">
        <v>864</v>
      </c>
      <c r="D2" s="8" t="s">
        <v>865</v>
      </c>
      <c r="E2" s="8" t="s">
        <v>622</v>
      </c>
      <c r="F2" s="8" t="s">
        <v>866</v>
      </c>
      <c r="G2" s="8" t="s">
        <v>537</v>
      </c>
    </row>
    <row r="3" customFormat="false" ht="57.75" hidden="false" customHeight="true" outlineLevel="0" collapsed="false">
      <c r="A3" s="9" t="s">
        <v>867</v>
      </c>
      <c r="B3" s="9" t="s">
        <v>868</v>
      </c>
      <c r="C3" s="9" t="s">
        <v>869</v>
      </c>
      <c r="D3" s="9" t="s">
        <v>870</v>
      </c>
      <c r="E3" s="9" t="s">
        <v>871</v>
      </c>
      <c r="F3" s="9" t="s">
        <v>872</v>
      </c>
      <c r="G3" s="9" t="s">
        <v>873</v>
      </c>
    </row>
    <row r="4" customFormat="false" ht="57.75" hidden="false" customHeight="true" outlineLevel="0" collapsed="false">
      <c r="A4" s="9" t="s">
        <v>874</v>
      </c>
      <c r="B4" s="9" t="s">
        <v>875</v>
      </c>
      <c r="C4" s="9" t="s">
        <v>876</v>
      </c>
      <c r="D4" s="9" t="s">
        <v>877</v>
      </c>
      <c r="E4" s="9" t="s">
        <v>878</v>
      </c>
      <c r="F4" s="9" t="s">
        <v>879</v>
      </c>
      <c r="G4" s="9" t="s">
        <v>136</v>
      </c>
    </row>
    <row r="5" customFormat="false" ht="57.75" hidden="false" customHeight="true" outlineLevel="0" collapsed="false">
      <c r="A5" s="9" t="s">
        <v>880</v>
      </c>
      <c r="B5" s="9" t="s">
        <v>881</v>
      </c>
      <c r="C5" s="9" t="s">
        <v>882</v>
      </c>
      <c r="D5" s="9" t="s">
        <v>883</v>
      </c>
      <c r="E5" s="9" t="s">
        <v>871</v>
      </c>
      <c r="F5" s="9" t="s">
        <v>884</v>
      </c>
      <c r="G5" s="9" t="s">
        <v>885</v>
      </c>
    </row>
    <row r="6" customFormat="false" ht="57.75" hidden="false" customHeight="true" outlineLevel="0" collapsed="false">
      <c r="A6" s="9" t="s">
        <v>886</v>
      </c>
      <c r="B6" s="9" t="s">
        <v>887</v>
      </c>
      <c r="C6" s="9" t="s">
        <v>888</v>
      </c>
      <c r="D6" s="9" t="s">
        <v>883</v>
      </c>
      <c r="E6" s="9" t="s">
        <v>871</v>
      </c>
      <c r="F6" s="9" t="s">
        <v>889</v>
      </c>
      <c r="G6" s="9" t="s">
        <v>890</v>
      </c>
    </row>
    <row r="7" customFormat="false" ht="57.75" hidden="false" customHeight="true" outlineLevel="0" collapsed="false">
      <c r="A7" s="9" t="s">
        <v>891</v>
      </c>
      <c r="B7" s="9" t="s">
        <v>892</v>
      </c>
      <c r="C7" s="9" t="s">
        <v>893</v>
      </c>
      <c r="D7" s="9" t="s">
        <v>883</v>
      </c>
      <c r="E7" s="9" t="s">
        <v>894</v>
      </c>
      <c r="F7" s="9" t="s">
        <v>895</v>
      </c>
      <c r="G7" s="9" t="s">
        <v>896</v>
      </c>
    </row>
    <row r="8" customFormat="false" ht="57.75" hidden="false" customHeight="true" outlineLevel="0" collapsed="false">
      <c r="A8" s="9" t="s">
        <v>897</v>
      </c>
      <c r="B8" s="9" t="s">
        <v>898</v>
      </c>
      <c r="C8" s="9" t="s">
        <v>899</v>
      </c>
      <c r="D8" s="9" t="s">
        <v>900</v>
      </c>
      <c r="E8" s="9" t="s">
        <v>871</v>
      </c>
      <c r="F8" s="9" t="s">
        <v>901</v>
      </c>
      <c r="G8" s="9" t="s">
        <v>902</v>
      </c>
    </row>
    <row r="9" customFormat="false" ht="57.75" hidden="false" customHeight="true" outlineLevel="0" collapsed="false">
      <c r="A9" s="9" t="s">
        <v>903</v>
      </c>
      <c r="B9" s="9" t="s">
        <v>904</v>
      </c>
      <c r="C9" s="9" t="s">
        <v>905</v>
      </c>
      <c r="D9" s="9" t="s">
        <v>906</v>
      </c>
      <c r="E9" s="9" t="s">
        <v>871</v>
      </c>
      <c r="F9" s="9" t="s">
        <v>907</v>
      </c>
      <c r="G9" s="9" t="s">
        <v>908</v>
      </c>
    </row>
    <row r="10" customFormat="false" ht="57.75" hidden="false" customHeight="true" outlineLevel="0" collapsed="false">
      <c r="A10" s="9" t="s">
        <v>909</v>
      </c>
      <c r="B10" s="9" t="s">
        <v>910</v>
      </c>
      <c r="C10" s="9" t="s">
        <v>911</v>
      </c>
      <c r="D10" s="9" t="s">
        <v>906</v>
      </c>
      <c r="E10" s="9" t="s">
        <v>912</v>
      </c>
      <c r="F10" s="9" t="s">
        <v>913</v>
      </c>
      <c r="G10" s="9" t="s">
        <v>914</v>
      </c>
    </row>
    <row r="11" customFormat="false" ht="57.75" hidden="false" customHeight="true" outlineLevel="0" collapsed="false">
      <c r="A11" s="9" t="s">
        <v>915</v>
      </c>
      <c r="B11" s="9" t="s">
        <v>916</v>
      </c>
      <c r="C11" s="9" t="s">
        <v>917</v>
      </c>
      <c r="D11" s="9" t="s">
        <v>918</v>
      </c>
      <c r="E11" s="9" t="s">
        <v>919</v>
      </c>
      <c r="F11" s="9" t="s">
        <v>920</v>
      </c>
      <c r="G11" s="9" t="s">
        <v>149</v>
      </c>
    </row>
    <row r="12" customFormat="false" ht="57.75" hidden="false" customHeight="true" outlineLevel="0" collapsed="false">
      <c r="A12" s="9" t="s">
        <v>921</v>
      </c>
      <c r="B12" s="9" t="s">
        <v>922</v>
      </c>
      <c r="C12" s="9" t="s">
        <v>923</v>
      </c>
      <c r="D12" s="9" t="s">
        <v>924</v>
      </c>
      <c r="E12" s="9" t="s">
        <v>871</v>
      </c>
      <c r="F12" s="9" t="s">
        <v>925</v>
      </c>
      <c r="G12" s="9" t="s">
        <v>926</v>
      </c>
    </row>
    <row r="13" customFormat="false" ht="57.75" hidden="false" customHeight="true" outlineLevel="0" collapsed="false">
      <c r="A13" s="9" t="s">
        <v>927</v>
      </c>
      <c r="B13" s="9" t="s">
        <v>928</v>
      </c>
      <c r="C13" s="9" t="s">
        <v>929</v>
      </c>
      <c r="D13" s="9" t="s">
        <v>906</v>
      </c>
      <c r="E13" s="9" t="s">
        <v>871</v>
      </c>
      <c r="F13" s="9" t="s">
        <v>930</v>
      </c>
      <c r="G13" s="9" t="s">
        <v>931</v>
      </c>
    </row>
    <row r="14" customFormat="false" ht="57.75" hidden="false" customHeight="true" outlineLevel="0" collapsed="false">
      <c r="A14" s="9" t="s">
        <v>932</v>
      </c>
      <c r="B14" s="9" t="s">
        <v>933</v>
      </c>
      <c r="C14" s="9" t="s">
        <v>934</v>
      </c>
      <c r="D14" s="9" t="s">
        <v>906</v>
      </c>
      <c r="E14" s="9" t="s">
        <v>871</v>
      </c>
      <c r="F14" s="9" t="s">
        <v>935</v>
      </c>
      <c r="G14" s="9" t="s">
        <v>936</v>
      </c>
    </row>
    <row r="15" customFormat="false" ht="57.75" hidden="false" customHeight="true" outlineLevel="0" collapsed="false">
      <c r="A15" s="9" t="s">
        <v>937</v>
      </c>
      <c r="B15" s="9" t="s">
        <v>938</v>
      </c>
      <c r="C15" s="9" t="s">
        <v>939</v>
      </c>
      <c r="D15" s="9" t="s">
        <v>906</v>
      </c>
      <c r="E15" s="9" t="s">
        <v>871</v>
      </c>
      <c r="F15" s="9" t="s">
        <v>935</v>
      </c>
      <c r="G15" s="9" t="s">
        <v>940</v>
      </c>
    </row>
    <row r="16" customFormat="false" ht="57.75" hidden="false" customHeight="true" outlineLevel="0" collapsed="false">
      <c r="A16" s="9" t="s">
        <v>941</v>
      </c>
      <c r="B16" s="9" t="s">
        <v>942</v>
      </c>
      <c r="C16" s="9" t="s">
        <v>943</v>
      </c>
      <c r="D16" s="9" t="s">
        <v>906</v>
      </c>
      <c r="E16" s="9" t="s">
        <v>871</v>
      </c>
      <c r="F16" s="9" t="s">
        <v>944</v>
      </c>
      <c r="G16" s="9" t="s">
        <v>945</v>
      </c>
    </row>
    <row r="17" customFormat="false" ht="57.75" hidden="false" customHeight="true" outlineLevel="0" collapsed="false">
      <c r="A17" s="9" t="s">
        <v>946</v>
      </c>
      <c r="B17" s="9" t="s">
        <v>947</v>
      </c>
      <c r="C17" s="9" t="s">
        <v>948</v>
      </c>
      <c r="D17" s="9" t="s">
        <v>906</v>
      </c>
      <c r="E17" s="9" t="s">
        <v>871</v>
      </c>
      <c r="F17" s="9" t="s">
        <v>949</v>
      </c>
      <c r="G17" s="9" t="s">
        <v>159</v>
      </c>
    </row>
    <row r="18" customFormat="false" ht="57.75" hidden="false" customHeight="true" outlineLevel="0" collapsed="false">
      <c r="A18" s="9" t="s">
        <v>950</v>
      </c>
      <c r="B18" s="9" t="s">
        <v>951</v>
      </c>
      <c r="C18" s="9" t="s">
        <v>948</v>
      </c>
      <c r="D18" s="9" t="s">
        <v>906</v>
      </c>
      <c r="E18" s="9" t="s">
        <v>871</v>
      </c>
      <c r="F18" s="9" t="s">
        <v>935</v>
      </c>
      <c r="G18" s="9" t="s">
        <v>952</v>
      </c>
    </row>
    <row r="19" customFormat="false" ht="57.75" hidden="false" customHeight="true" outlineLevel="0" collapsed="false">
      <c r="A19" s="9" t="s">
        <v>953</v>
      </c>
      <c r="B19" s="9" t="s">
        <v>954</v>
      </c>
      <c r="C19" s="9" t="s">
        <v>955</v>
      </c>
      <c r="D19" s="9" t="s">
        <v>906</v>
      </c>
      <c r="E19" s="9" t="s">
        <v>871</v>
      </c>
      <c r="F19" s="9" t="s">
        <v>956</v>
      </c>
      <c r="G19" s="9" t="s">
        <v>957</v>
      </c>
    </row>
    <row r="20" customFormat="false" ht="57.75" hidden="false" customHeight="true" outlineLevel="0" collapsed="false">
      <c r="A20" s="9" t="s">
        <v>958</v>
      </c>
      <c r="B20" s="9" t="s">
        <v>959</v>
      </c>
      <c r="C20" s="9" t="s">
        <v>960</v>
      </c>
      <c r="D20" s="9" t="s">
        <v>906</v>
      </c>
      <c r="E20" s="9" t="s">
        <v>871</v>
      </c>
      <c r="F20" s="9" t="s">
        <v>961</v>
      </c>
      <c r="G20" s="9" t="s">
        <v>962</v>
      </c>
    </row>
    <row r="21" customFormat="false" ht="57.75" hidden="false" customHeight="true" outlineLevel="0" collapsed="false">
      <c r="A21" s="9" t="s">
        <v>963</v>
      </c>
      <c r="B21" s="9" t="s">
        <v>964</v>
      </c>
      <c r="C21" s="9" t="s">
        <v>965</v>
      </c>
      <c r="D21" s="9" t="s">
        <v>966</v>
      </c>
      <c r="E21" s="9" t="s">
        <v>967</v>
      </c>
      <c r="F21" s="9" t="s">
        <v>968</v>
      </c>
      <c r="G21" s="9" t="s">
        <v>969</v>
      </c>
    </row>
    <row r="22" customFormat="false" ht="57.75" hidden="false" customHeight="true" outlineLevel="0" collapsed="false">
      <c r="A22" s="9" t="s">
        <v>970</v>
      </c>
      <c r="B22" s="9" t="s">
        <v>971</v>
      </c>
      <c r="C22" s="9" t="s">
        <v>972</v>
      </c>
      <c r="D22" s="9" t="s">
        <v>966</v>
      </c>
      <c r="E22" s="9" t="s">
        <v>967</v>
      </c>
      <c r="F22" s="9" t="s">
        <v>973</v>
      </c>
      <c r="G22" s="9" t="s">
        <v>974</v>
      </c>
    </row>
    <row r="23" customFormat="false" ht="57.75" hidden="false" customHeight="true" outlineLevel="0" collapsed="false">
      <c r="A23" s="9" t="s">
        <v>975</v>
      </c>
      <c r="B23" s="9" t="s">
        <v>976</v>
      </c>
      <c r="C23" s="9" t="s">
        <v>977</v>
      </c>
      <c r="D23" s="9" t="s">
        <v>966</v>
      </c>
      <c r="E23" s="9" t="s">
        <v>967</v>
      </c>
      <c r="F23" s="9" t="s">
        <v>978</v>
      </c>
      <c r="G23" s="9" t="s">
        <v>238</v>
      </c>
    </row>
    <row r="24" customFormat="false" ht="57.75" hidden="false" customHeight="true" outlineLevel="0" collapsed="false">
      <c r="A24" s="9" t="s">
        <v>979</v>
      </c>
      <c r="B24" s="9" t="s">
        <v>980</v>
      </c>
      <c r="C24" s="9" t="s">
        <v>981</v>
      </c>
      <c r="D24" s="9" t="s">
        <v>966</v>
      </c>
      <c r="E24" s="9" t="s">
        <v>967</v>
      </c>
      <c r="F24" s="9" t="s">
        <v>982</v>
      </c>
      <c r="G24" s="9" t="s">
        <v>261</v>
      </c>
    </row>
    <row r="25" customFormat="false" ht="57.75" hidden="false" customHeight="true" outlineLevel="0" collapsed="false">
      <c r="A25" s="9" t="s">
        <v>983</v>
      </c>
      <c r="B25" s="9" t="s">
        <v>984</v>
      </c>
      <c r="C25" s="9" t="s">
        <v>985</v>
      </c>
      <c r="D25" s="9" t="s">
        <v>966</v>
      </c>
      <c r="E25" s="9" t="s">
        <v>967</v>
      </c>
      <c r="F25" s="9" t="s">
        <v>986</v>
      </c>
      <c r="G25" s="9" t="s">
        <v>225</v>
      </c>
    </row>
    <row r="26" customFormat="false" ht="57.75" hidden="false" customHeight="true" outlineLevel="0" collapsed="false">
      <c r="A26" s="9" t="s">
        <v>987</v>
      </c>
      <c r="B26" s="9" t="s">
        <v>988</v>
      </c>
      <c r="C26" s="9" t="s">
        <v>989</v>
      </c>
      <c r="D26" s="9" t="s">
        <v>966</v>
      </c>
      <c r="E26" s="9" t="s">
        <v>967</v>
      </c>
      <c r="F26" s="9" t="s">
        <v>990</v>
      </c>
      <c r="G26" s="9" t="s">
        <v>214</v>
      </c>
    </row>
    <row r="27" customFormat="false" ht="57.75" hidden="false" customHeight="true" outlineLevel="0" collapsed="false">
      <c r="A27" s="9" t="s">
        <v>991</v>
      </c>
      <c r="B27" s="9" t="s">
        <v>992</v>
      </c>
      <c r="C27" s="9" t="s">
        <v>993</v>
      </c>
      <c r="D27" s="9" t="s">
        <v>966</v>
      </c>
      <c r="E27" s="9" t="s">
        <v>967</v>
      </c>
      <c r="F27" s="9" t="s">
        <v>994</v>
      </c>
      <c r="G27" s="9" t="s">
        <v>995</v>
      </c>
    </row>
    <row r="28" customFormat="false" ht="57.75" hidden="false" customHeight="true" outlineLevel="0" collapsed="false">
      <c r="A28" s="9" t="s">
        <v>996</v>
      </c>
      <c r="B28" s="9" t="s">
        <v>997</v>
      </c>
      <c r="C28" s="9" t="s">
        <v>939</v>
      </c>
      <c r="D28" s="9" t="s">
        <v>966</v>
      </c>
      <c r="E28" s="9" t="s">
        <v>967</v>
      </c>
      <c r="F28" s="9" t="s">
        <v>998</v>
      </c>
      <c r="G28" s="9" t="s">
        <v>999</v>
      </c>
    </row>
    <row r="29" customFormat="false" ht="57.75" hidden="false" customHeight="true" outlineLevel="0" collapsed="false">
      <c r="A29" s="9" t="s">
        <v>1000</v>
      </c>
      <c r="B29" s="9" t="s">
        <v>1001</v>
      </c>
      <c r="C29" s="9" t="s">
        <v>1002</v>
      </c>
      <c r="D29" s="9" t="s">
        <v>966</v>
      </c>
      <c r="E29" s="9" t="s">
        <v>967</v>
      </c>
      <c r="F29" s="9" t="s">
        <v>1003</v>
      </c>
      <c r="G29" s="9" t="s">
        <v>1004</v>
      </c>
    </row>
    <row r="30" customFormat="false" ht="57.75" hidden="false" customHeight="true" outlineLevel="0" collapsed="false">
      <c r="A30" s="9" t="s">
        <v>1005</v>
      </c>
      <c r="B30" s="9" t="s">
        <v>1006</v>
      </c>
      <c r="C30" s="9" t="s">
        <v>1007</v>
      </c>
      <c r="D30" s="9" t="s">
        <v>966</v>
      </c>
      <c r="E30" s="9" t="s">
        <v>967</v>
      </c>
      <c r="F30" s="9" t="s">
        <v>1008</v>
      </c>
      <c r="G30" s="9" t="s">
        <v>1009</v>
      </c>
    </row>
    <row r="31" customFormat="false" ht="57.75" hidden="false" customHeight="true" outlineLevel="0" collapsed="false">
      <c r="A31" s="9" t="s">
        <v>1010</v>
      </c>
      <c r="B31" s="9" t="s">
        <v>1011</v>
      </c>
      <c r="C31" s="9" t="s">
        <v>1012</v>
      </c>
      <c r="D31" s="9" t="s">
        <v>966</v>
      </c>
      <c r="E31" s="9" t="s">
        <v>967</v>
      </c>
      <c r="F31" s="9" t="s">
        <v>1013</v>
      </c>
      <c r="G31" s="9" t="s">
        <v>1014</v>
      </c>
    </row>
    <row r="32" customFormat="false" ht="57.75" hidden="false" customHeight="true" outlineLevel="0" collapsed="false">
      <c r="A32" s="9" t="s">
        <v>1015</v>
      </c>
      <c r="B32" s="9" t="s">
        <v>1016</v>
      </c>
      <c r="C32" s="9" t="s">
        <v>1017</v>
      </c>
      <c r="D32" s="9" t="s">
        <v>966</v>
      </c>
      <c r="E32" s="9" t="s">
        <v>967</v>
      </c>
      <c r="F32" s="9" t="s">
        <v>994</v>
      </c>
      <c r="G32" s="9" t="s">
        <v>1018</v>
      </c>
    </row>
    <row r="33" customFormat="false" ht="57.75" hidden="false" customHeight="true" outlineLevel="0" collapsed="false">
      <c r="A33" s="9" t="s">
        <v>1019</v>
      </c>
      <c r="B33" s="9" t="s">
        <v>1001</v>
      </c>
      <c r="C33" s="9" t="s">
        <v>1002</v>
      </c>
      <c r="D33" s="9" t="s">
        <v>966</v>
      </c>
      <c r="E33" s="9" t="s">
        <v>967</v>
      </c>
      <c r="F33" s="9" t="s">
        <v>1003</v>
      </c>
      <c r="G33" s="9" t="s">
        <v>272</v>
      </c>
    </row>
    <row r="34" customFormat="false" ht="57.75" hidden="false" customHeight="true" outlineLevel="0" collapsed="false">
      <c r="A34" s="9" t="s">
        <v>1020</v>
      </c>
      <c r="B34" s="9" t="s">
        <v>1021</v>
      </c>
      <c r="C34" s="9" t="s">
        <v>1022</v>
      </c>
      <c r="D34" s="9" t="s">
        <v>1023</v>
      </c>
      <c r="E34" s="9" t="s">
        <v>967</v>
      </c>
      <c r="F34" s="9" t="s">
        <v>1024</v>
      </c>
      <c r="G34" s="9" t="s">
        <v>1025</v>
      </c>
    </row>
    <row r="35" customFormat="false" ht="57.75" hidden="false" customHeight="true" outlineLevel="0" collapsed="false">
      <c r="A35" s="9" t="s">
        <v>1026</v>
      </c>
      <c r="B35" s="9" t="s">
        <v>1027</v>
      </c>
      <c r="C35" s="9" t="s">
        <v>1028</v>
      </c>
      <c r="D35" s="9" t="s">
        <v>1029</v>
      </c>
      <c r="E35" s="9" t="s">
        <v>967</v>
      </c>
      <c r="F35" s="9" t="s">
        <v>1030</v>
      </c>
      <c r="G35" s="9" t="s">
        <v>287</v>
      </c>
    </row>
    <row r="36" customFormat="false" ht="57.75" hidden="false" customHeight="true" outlineLevel="0" collapsed="false">
      <c r="A36" s="9" t="s">
        <v>1031</v>
      </c>
      <c r="B36" s="9" t="s">
        <v>1032</v>
      </c>
      <c r="C36" s="9" t="s">
        <v>1033</v>
      </c>
      <c r="D36" s="9" t="s">
        <v>883</v>
      </c>
      <c r="E36" s="9" t="s">
        <v>967</v>
      </c>
      <c r="F36" s="9" t="s">
        <v>1034</v>
      </c>
      <c r="G36" s="9" t="s">
        <v>297</v>
      </c>
    </row>
    <row r="37" customFormat="false" ht="57.75" hidden="false" customHeight="true" outlineLevel="0" collapsed="false">
      <c r="A37" s="9" t="s">
        <v>1035</v>
      </c>
      <c r="B37" s="9" t="s">
        <v>1036</v>
      </c>
      <c r="C37" s="9" t="s">
        <v>1037</v>
      </c>
      <c r="D37" s="9" t="s">
        <v>1038</v>
      </c>
      <c r="E37" s="9" t="s">
        <v>72</v>
      </c>
      <c r="F37" s="9" t="s">
        <v>1039</v>
      </c>
      <c r="G37" s="9" t="s">
        <v>1040</v>
      </c>
    </row>
    <row r="38" customFormat="false" ht="57.75" hidden="false" customHeight="true" outlineLevel="0" collapsed="false">
      <c r="A38" s="9" t="s">
        <v>1041</v>
      </c>
      <c r="B38" s="9" t="s">
        <v>1042</v>
      </c>
      <c r="C38" s="9" t="s">
        <v>1043</v>
      </c>
      <c r="D38" s="9" t="s">
        <v>1038</v>
      </c>
      <c r="E38" s="9" t="s">
        <v>72</v>
      </c>
      <c r="F38" s="9" t="s">
        <v>1044</v>
      </c>
      <c r="G38" s="9" t="s">
        <v>1040</v>
      </c>
    </row>
    <row r="39" customFormat="false" ht="57.75" hidden="false" customHeight="true" outlineLevel="0" collapsed="false">
      <c r="A39" s="9" t="s">
        <v>1045</v>
      </c>
      <c r="B39" s="9" t="s">
        <v>1046</v>
      </c>
      <c r="C39" s="9" t="s">
        <v>481</v>
      </c>
      <c r="D39" s="9" t="s">
        <v>1038</v>
      </c>
      <c r="E39" s="9" t="s">
        <v>72</v>
      </c>
      <c r="F39" s="9" t="s">
        <v>1047</v>
      </c>
      <c r="G39" s="9" t="s">
        <v>1040</v>
      </c>
    </row>
    <row r="40" customFormat="false" ht="57.75" hidden="false" customHeight="true" outlineLevel="0" collapsed="false">
      <c r="A40" s="9" t="s">
        <v>1048</v>
      </c>
      <c r="B40" s="9" t="s">
        <v>1049</v>
      </c>
      <c r="C40" s="9" t="s">
        <v>1050</v>
      </c>
      <c r="D40" s="9" t="s">
        <v>1038</v>
      </c>
      <c r="E40" s="9" t="s">
        <v>72</v>
      </c>
      <c r="F40" s="9" t="s">
        <v>1051</v>
      </c>
      <c r="G40" s="9" t="s">
        <v>1052</v>
      </c>
    </row>
  </sheetData>
  <autoFilter ref="A2:G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0"/>
    <col collapsed="false" customWidth="true" hidden="false" outlineLevel="0" max="3" min="3" style="0" width="26"/>
    <col collapsed="false" customWidth="true" hidden="false" outlineLevel="0" max="4" min="4" style="0" width="46"/>
    <col collapsed="false" customWidth="true" hidden="false" outlineLevel="0" max="5" min="5" style="0" width="40"/>
    <col collapsed="false" customWidth="true" hidden="false" outlineLevel="0" max="6" min="6" style="0" width="48"/>
    <col collapsed="false" customWidth="true" hidden="false" outlineLevel="0" max="7" min="7" style="0" width="24"/>
    <col collapsed="false" customWidth="true" hidden="false" outlineLevel="0" max="8" min="8" style="0" width="50"/>
  </cols>
  <sheetData>
    <row r="1" customFormat="false" ht="15" hidden="false" customHeight="false" outlineLevel="0" collapsed="false">
      <c r="A1" s="3" t="s">
        <v>1053</v>
      </c>
    </row>
    <row r="2" customFormat="false" ht="31.5" hidden="false" customHeight="true" outlineLevel="0" collapsed="false">
      <c r="A2" s="8" t="s">
        <v>618</v>
      </c>
      <c r="B2" s="8" t="s">
        <v>1054</v>
      </c>
      <c r="C2" s="8" t="s">
        <v>1055</v>
      </c>
      <c r="D2" s="8" t="s">
        <v>1056</v>
      </c>
      <c r="E2" s="8" t="s">
        <v>621</v>
      </c>
      <c r="F2" s="8" t="s">
        <v>48</v>
      </c>
      <c r="G2" s="8" t="s">
        <v>622</v>
      </c>
      <c r="H2" s="8" t="s">
        <v>537</v>
      </c>
    </row>
    <row r="3" customFormat="false" ht="61.5" hidden="false" customHeight="true" outlineLevel="0" collapsed="false">
      <c r="A3" s="9" t="s">
        <v>1057</v>
      </c>
      <c r="B3" s="9" t="s">
        <v>1058</v>
      </c>
      <c r="C3" s="9" t="s">
        <v>1059</v>
      </c>
      <c r="D3" s="9" t="s">
        <v>1060</v>
      </c>
      <c r="E3" s="9" t="s">
        <v>1061</v>
      </c>
      <c r="F3" s="9" t="s">
        <v>1062</v>
      </c>
      <c r="G3" s="9" t="s">
        <v>1063</v>
      </c>
      <c r="H3" s="9" t="s">
        <v>1064</v>
      </c>
    </row>
    <row r="4" customFormat="false" ht="61.5" hidden="false" customHeight="true" outlineLevel="0" collapsed="false">
      <c r="A4" s="9" t="s">
        <v>1065</v>
      </c>
      <c r="B4" s="9" t="s">
        <v>1066</v>
      </c>
      <c r="C4" s="9" t="s">
        <v>1067</v>
      </c>
      <c r="D4" s="9" t="s">
        <v>1068</v>
      </c>
      <c r="E4" s="9" t="s">
        <v>1069</v>
      </c>
      <c r="F4" s="9" t="s">
        <v>1070</v>
      </c>
      <c r="G4" s="9" t="s">
        <v>1071</v>
      </c>
      <c r="H4" s="9" t="s">
        <v>608</v>
      </c>
    </row>
    <row r="5" customFormat="false" ht="61.5" hidden="false" customHeight="true" outlineLevel="0" collapsed="false">
      <c r="A5" s="9" t="s">
        <v>1072</v>
      </c>
      <c r="B5" s="9" t="s">
        <v>1073</v>
      </c>
      <c r="C5" s="9" t="s">
        <v>1074</v>
      </c>
      <c r="D5" s="9" t="s">
        <v>601</v>
      </c>
      <c r="E5" s="9" t="s">
        <v>1075</v>
      </c>
      <c r="F5" s="9" t="s">
        <v>1076</v>
      </c>
      <c r="G5" s="9" t="s">
        <v>1071</v>
      </c>
      <c r="H5" s="9" t="s">
        <v>1077</v>
      </c>
    </row>
    <row r="6" customFormat="false" ht="61.5" hidden="false" customHeight="true" outlineLevel="0" collapsed="false">
      <c r="A6" s="9" t="s">
        <v>1078</v>
      </c>
      <c r="B6" s="9" t="s">
        <v>1079</v>
      </c>
      <c r="C6" s="9" t="s">
        <v>1074</v>
      </c>
      <c r="D6" s="9" t="s">
        <v>1080</v>
      </c>
      <c r="E6" s="9" t="s">
        <v>1081</v>
      </c>
      <c r="F6" s="9" t="s">
        <v>1082</v>
      </c>
      <c r="G6" s="9" t="s">
        <v>72</v>
      </c>
      <c r="H6" s="9" t="s">
        <v>1083</v>
      </c>
    </row>
    <row r="7" customFormat="false" ht="61.5" hidden="false" customHeight="true" outlineLevel="0" collapsed="false">
      <c r="A7" s="9" t="s">
        <v>1084</v>
      </c>
      <c r="B7" s="9" t="s">
        <v>1085</v>
      </c>
      <c r="C7" s="9" t="s">
        <v>1074</v>
      </c>
      <c r="D7" s="9" t="s">
        <v>1086</v>
      </c>
      <c r="E7" s="9" t="s">
        <v>1087</v>
      </c>
      <c r="F7" s="9" t="s">
        <v>1088</v>
      </c>
      <c r="G7" s="9" t="s">
        <v>1071</v>
      </c>
      <c r="H7" s="9" t="s">
        <v>360</v>
      </c>
    </row>
    <row r="8" customFormat="false" ht="61.5" hidden="false" customHeight="true" outlineLevel="0" collapsed="false">
      <c r="A8" s="9" t="s">
        <v>1089</v>
      </c>
      <c r="B8" s="9" t="s">
        <v>1090</v>
      </c>
      <c r="C8" s="9" t="s">
        <v>1091</v>
      </c>
      <c r="D8" s="9" t="s">
        <v>1092</v>
      </c>
      <c r="E8" s="9" t="s">
        <v>368</v>
      </c>
      <c r="F8" s="9" t="s">
        <v>1093</v>
      </c>
      <c r="G8" s="9" t="s">
        <v>1071</v>
      </c>
      <c r="H8" s="9" t="s">
        <v>373</v>
      </c>
    </row>
    <row r="9" customFormat="false" ht="61.5" hidden="false" customHeight="true" outlineLevel="0" collapsed="false">
      <c r="A9" s="9" t="s">
        <v>1094</v>
      </c>
      <c r="B9" s="9" t="s">
        <v>1095</v>
      </c>
      <c r="C9" s="9" t="s">
        <v>1091</v>
      </c>
      <c r="D9" s="9" t="s">
        <v>1096</v>
      </c>
      <c r="E9" s="9" t="s">
        <v>72</v>
      </c>
      <c r="F9" s="9" t="s">
        <v>1097</v>
      </c>
      <c r="G9" s="9" t="s">
        <v>1071</v>
      </c>
      <c r="H9" s="9" t="s">
        <v>396</v>
      </c>
    </row>
    <row r="10" customFormat="false" ht="61.5" hidden="false" customHeight="true" outlineLevel="0" collapsed="false">
      <c r="A10" s="9" t="s">
        <v>1098</v>
      </c>
      <c r="B10" s="9" t="s">
        <v>1099</v>
      </c>
      <c r="C10" s="9" t="s">
        <v>1091</v>
      </c>
      <c r="D10" s="9" t="s">
        <v>1100</v>
      </c>
      <c r="E10" s="9" t="s">
        <v>72</v>
      </c>
      <c r="F10" s="9" t="s">
        <v>1101</v>
      </c>
      <c r="G10" s="9" t="s">
        <v>1071</v>
      </c>
      <c r="H10" s="9" t="s">
        <v>1102</v>
      </c>
    </row>
    <row r="11" customFormat="false" ht="61.5" hidden="false" customHeight="true" outlineLevel="0" collapsed="false">
      <c r="A11" s="9" t="s">
        <v>1103</v>
      </c>
      <c r="B11" s="9" t="s">
        <v>1104</v>
      </c>
      <c r="C11" s="9" t="s">
        <v>1038</v>
      </c>
      <c r="D11" s="9" t="s">
        <v>400</v>
      </c>
      <c r="E11" s="9" t="s">
        <v>380</v>
      </c>
      <c r="F11" s="9" t="s">
        <v>1105</v>
      </c>
      <c r="G11" s="9" t="s">
        <v>1071</v>
      </c>
      <c r="H11" s="9" t="s">
        <v>385</v>
      </c>
    </row>
    <row r="12" customFormat="false" ht="61.5" hidden="false" customHeight="true" outlineLevel="0" collapsed="false">
      <c r="A12" s="9" t="s">
        <v>1106</v>
      </c>
      <c r="B12" s="9" t="s">
        <v>1107</v>
      </c>
      <c r="C12" s="9" t="s">
        <v>1108</v>
      </c>
      <c r="D12" s="9" t="s">
        <v>1109</v>
      </c>
      <c r="E12" s="9" t="s">
        <v>72</v>
      </c>
      <c r="F12" s="9" t="s">
        <v>1110</v>
      </c>
      <c r="G12" s="9" t="s">
        <v>1071</v>
      </c>
      <c r="H12" s="9" t="s">
        <v>424</v>
      </c>
    </row>
    <row r="13" customFormat="false" ht="61.5" hidden="false" customHeight="true" outlineLevel="0" collapsed="false">
      <c r="A13" s="9" t="s">
        <v>1111</v>
      </c>
      <c r="B13" s="9" t="s">
        <v>1112</v>
      </c>
      <c r="C13" s="9" t="s">
        <v>1113</v>
      </c>
      <c r="D13" s="9" t="s">
        <v>1114</v>
      </c>
      <c r="E13" s="9" t="s">
        <v>72</v>
      </c>
      <c r="F13" s="9" t="s">
        <v>1115</v>
      </c>
      <c r="G13" s="9" t="s">
        <v>1116</v>
      </c>
      <c r="H13" s="9" t="s">
        <v>437</v>
      </c>
    </row>
    <row r="14" customFormat="false" ht="61.5" hidden="false" customHeight="true" outlineLevel="0" collapsed="false">
      <c r="A14" s="9" t="s">
        <v>1117</v>
      </c>
      <c r="B14" s="9" t="s">
        <v>1118</v>
      </c>
      <c r="C14" s="9" t="s">
        <v>1038</v>
      </c>
      <c r="D14" s="9" t="s">
        <v>1119</v>
      </c>
      <c r="E14" s="9" t="s">
        <v>446</v>
      </c>
      <c r="F14" s="9" t="s">
        <v>1120</v>
      </c>
      <c r="G14" s="9" t="s">
        <v>1121</v>
      </c>
      <c r="H14" s="9" t="s">
        <v>451</v>
      </c>
    </row>
    <row r="15" customFormat="false" ht="61.5" hidden="false" customHeight="true" outlineLevel="0" collapsed="false">
      <c r="A15" s="9" t="s">
        <v>1122</v>
      </c>
      <c r="B15" s="9" t="s">
        <v>1123</v>
      </c>
      <c r="C15" s="9" t="s">
        <v>1038</v>
      </c>
      <c r="D15" s="9" t="s">
        <v>1124</v>
      </c>
      <c r="E15" s="9" t="s">
        <v>72</v>
      </c>
      <c r="F15" s="9" t="s">
        <v>1125</v>
      </c>
      <c r="G15" s="9" t="s">
        <v>351</v>
      </c>
      <c r="H15" s="9" t="s">
        <v>1126</v>
      </c>
    </row>
    <row r="16" customFormat="false" ht="61.5" hidden="false" customHeight="true" outlineLevel="0" collapsed="false">
      <c r="A16" s="9" t="s">
        <v>1127</v>
      </c>
      <c r="B16" s="9" t="s">
        <v>1128</v>
      </c>
      <c r="C16" s="9" t="s">
        <v>72</v>
      </c>
      <c r="D16" s="9" t="s">
        <v>1129</v>
      </c>
      <c r="E16" s="9" t="s">
        <v>72</v>
      </c>
      <c r="F16" s="9" t="s">
        <v>72</v>
      </c>
      <c r="G16" s="9" t="s">
        <v>72</v>
      </c>
      <c r="H16" s="9" t="s">
        <v>405</v>
      </c>
    </row>
    <row r="17" customFormat="false" ht="61.5" hidden="false" customHeight="true" outlineLevel="0" collapsed="false">
      <c r="A17" s="9" t="s">
        <v>1130</v>
      </c>
      <c r="B17" s="9" t="s">
        <v>1131</v>
      </c>
      <c r="C17" s="9" t="s">
        <v>1132</v>
      </c>
      <c r="D17" s="9" t="s">
        <v>1132</v>
      </c>
      <c r="E17" s="9" t="s">
        <v>1132</v>
      </c>
      <c r="F17" s="9" t="s">
        <v>1132</v>
      </c>
      <c r="G17" s="9" t="s">
        <v>1132</v>
      </c>
      <c r="H17" s="9" t="s">
        <v>405</v>
      </c>
    </row>
  </sheetData>
  <autoFilter ref="A2:H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2"/>
    <col collapsed="false" customWidth="true" hidden="false" outlineLevel="0" max="3" min="3" style="0" width="70"/>
  </cols>
  <sheetData>
    <row r="1" customFormat="false" ht="15" hidden="false" customHeight="false" outlineLevel="0" collapsed="false">
      <c r="A1" s="3" t="s">
        <v>1133</v>
      </c>
    </row>
    <row r="2" customFormat="false" ht="31.5" hidden="false" customHeight="true" outlineLevel="0" collapsed="false">
      <c r="A2" s="8" t="s">
        <v>1134</v>
      </c>
      <c r="B2" s="8" t="s">
        <v>1135</v>
      </c>
      <c r="C2" s="8" t="s">
        <v>1136</v>
      </c>
    </row>
    <row r="3" customFormat="false" ht="57.75" hidden="false" customHeight="true" outlineLevel="0" collapsed="false">
      <c r="A3" s="9" t="s">
        <v>1137</v>
      </c>
      <c r="B3" s="9" t="s">
        <v>1138</v>
      </c>
      <c r="C3" s="9" t="s">
        <v>1139</v>
      </c>
    </row>
    <row r="4" customFormat="false" ht="57.75" hidden="false" customHeight="true" outlineLevel="0" collapsed="false">
      <c r="A4" s="9" t="s">
        <v>1140</v>
      </c>
      <c r="B4" s="9" t="s">
        <v>1141</v>
      </c>
      <c r="C4" s="9" t="s">
        <v>1142</v>
      </c>
    </row>
    <row r="5" customFormat="false" ht="57.75" hidden="false" customHeight="true" outlineLevel="0" collapsed="false">
      <c r="A5" s="9" t="s">
        <v>1143</v>
      </c>
      <c r="B5" s="9" t="s">
        <v>1144</v>
      </c>
      <c r="C5" s="9" t="s">
        <v>1145</v>
      </c>
    </row>
    <row r="6" customFormat="false" ht="57.75" hidden="false" customHeight="true" outlineLevel="0" collapsed="false">
      <c r="A6" s="9" t="s">
        <v>1146</v>
      </c>
      <c r="B6" s="9" t="s">
        <v>1147</v>
      </c>
      <c r="C6" s="9" t="s">
        <v>1148</v>
      </c>
    </row>
    <row r="7" customFormat="false" ht="57.75" hidden="false" customHeight="true" outlineLevel="0" collapsed="false">
      <c r="A7" s="9" t="s">
        <v>1149</v>
      </c>
      <c r="B7" s="9" t="s">
        <v>1150</v>
      </c>
      <c r="C7" s="9" t="s">
        <v>1151</v>
      </c>
    </row>
    <row r="8" customFormat="false" ht="57.75" hidden="false" customHeight="true" outlineLevel="0" collapsed="false">
      <c r="A8" s="9" t="s">
        <v>1152</v>
      </c>
      <c r="B8" s="9" t="s">
        <v>1153</v>
      </c>
      <c r="C8" s="9" t="s">
        <v>1154</v>
      </c>
    </row>
    <row r="9" customFormat="false" ht="57.75" hidden="false" customHeight="true" outlineLevel="0" collapsed="false">
      <c r="A9" s="9" t="s">
        <v>1155</v>
      </c>
      <c r="B9" s="9" t="s">
        <v>1156</v>
      </c>
      <c r="C9" s="9" t="s">
        <v>1157</v>
      </c>
    </row>
    <row r="10" customFormat="false" ht="57.75" hidden="false" customHeight="true" outlineLevel="0" collapsed="false">
      <c r="A10" s="9" t="s">
        <v>1158</v>
      </c>
      <c r="B10" s="9" t="s">
        <v>1159</v>
      </c>
      <c r="C10" s="9" t="s">
        <v>1160</v>
      </c>
    </row>
    <row r="11" customFormat="false" ht="57.75" hidden="false" customHeight="true" outlineLevel="0" collapsed="false">
      <c r="A11" s="9" t="s">
        <v>1161</v>
      </c>
      <c r="B11" s="9" t="s">
        <v>1162</v>
      </c>
      <c r="C11" s="9" t="s">
        <v>1163</v>
      </c>
    </row>
    <row r="12" customFormat="false" ht="57.75" hidden="false" customHeight="true" outlineLevel="0" collapsed="false">
      <c r="A12" s="9" t="s">
        <v>1164</v>
      </c>
      <c r="B12" s="9" t="s">
        <v>1165</v>
      </c>
      <c r="C12" s="9" t="s">
        <v>1166</v>
      </c>
    </row>
    <row r="13" customFormat="false" ht="57.75" hidden="false" customHeight="true" outlineLevel="0" collapsed="false">
      <c r="A13" s="9" t="s">
        <v>1167</v>
      </c>
      <c r="B13" s="9" t="s">
        <v>1168</v>
      </c>
      <c r="C13" s="9" t="s">
        <v>1169</v>
      </c>
    </row>
    <row r="14" customFormat="false" ht="57.75" hidden="false" customHeight="true" outlineLevel="0" collapsed="false">
      <c r="A14" s="9" t="s">
        <v>1170</v>
      </c>
      <c r="B14" s="9" t="s">
        <v>1171</v>
      </c>
      <c r="C14" s="9" t="s">
        <v>1172</v>
      </c>
    </row>
    <row r="15" customFormat="false" ht="57.75" hidden="false" customHeight="true" outlineLevel="0" collapsed="false">
      <c r="A15" s="9" t="s">
        <v>1173</v>
      </c>
      <c r="B15" s="9" t="s">
        <v>1174</v>
      </c>
      <c r="C15" s="9" t="s">
        <v>1175</v>
      </c>
    </row>
    <row r="16" customFormat="false" ht="57.75" hidden="false" customHeight="true" outlineLevel="0" collapsed="false">
      <c r="A16" s="9" t="s">
        <v>1176</v>
      </c>
      <c r="B16" s="9" t="s">
        <v>1177</v>
      </c>
      <c r="C16" s="9" t="s">
        <v>1178</v>
      </c>
    </row>
    <row r="17" customFormat="false" ht="57.75" hidden="false" customHeight="true" outlineLevel="0" collapsed="false">
      <c r="A17" s="9" t="s">
        <v>1179</v>
      </c>
      <c r="B17" s="9" t="s">
        <v>1180</v>
      </c>
      <c r="C17" s="9" t="s">
        <v>1181</v>
      </c>
    </row>
  </sheetData>
  <autoFilter ref="A2:C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2026-08-25T04:23:33Z</dcterms:created>
  <dc:creator>openpyxl</dc:creator>
  <dc:description/>
  <dc:language>en-US</dc:language>
  <cp:lastModifiedBy/>
  <dcterms:modified xsi:type="dcterms:W3CDTF">2026-08-25T04:23:33Z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